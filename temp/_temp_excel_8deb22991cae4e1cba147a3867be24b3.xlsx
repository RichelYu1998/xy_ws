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EFD3874-25B9-4E4D-861E-6433445CF78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配件成本" sheetId="1" r:id="rId1"/>
    <sheet name="每日利润" sheetId="2" r:id="rId2"/>
    <sheet name="闲鱼" sheetId="4" r:id="rId3"/>
    <sheet name="定价" sheetId="3" r:id="rId4"/>
    <sheet name="开店明细" sheetId="5" r:id="rId5"/>
    <sheet name="门店" sheetId="6" r:id="rId6"/>
    <sheet name="大于600微购商城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8" i="2" l="1"/>
  <c r="H61" i="4"/>
  <c r="I61" i="4"/>
  <c r="J61" i="4"/>
  <c r="H60" i="4"/>
  <c r="I60" i="4" s="1"/>
  <c r="H29" i="4"/>
  <c r="J29" i="4" s="1"/>
  <c r="H30" i="4"/>
  <c r="I30" i="4" s="1"/>
  <c r="H31" i="4"/>
  <c r="I31" i="4" s="1"/>
  <c r="H32" i="4"/>
  <c r="I32" i="4" s="1"/>
  <c r="H33" i="4"/>
  <c r="I33" i="4" s="1"/>
  <c r="H28" i="4"/>
  <c r="I28" i="4" s="1"/>
  <c r="D297" i="2"/>
  <c r="H59" i="4"/>
  <c r="I59" i="4" s="1"/>
  <c r="H54" i="4"/>
  <c r="I54" i="4" s="1"/>
  <c r="H55" i="4"/>
  <c r="I55" i="4" s="1"/>
  <c r="H56" i="4"/>
  <c r="J56" i="4" s="1"/>
  <c r="H57" i="4"/>
  <c r="I57" i="4" s="1"/>
  <c r="H58" i="4"/>
  <c r="I58" i="4" s="1"/>
  <c r="H24" i="4"/>
  <c r="I24" i="4" s="1"/>
  <c r="H23" i="4"/>
  <c r="I23" i="4" s="1"/>
  <c r="H22" i="4"/>
  <c r="I22" i="4" s="1"/>
  <c r="H25" i="4"/>
  <c r="I25" i="4" s="1"/>
  <c r="H26" i="4"/>
  <c r="I26" i="4" s="1"/>
  <c r="H21" i="4"/>
  <c r="I21" i="4" s="1"/>
  <c r="H20" i="4"/>
  <c r="I20" i="4" s="1"/>
  <c r="H19" i="4"/>
  <c r="I19" i="4" s="1"/>
  <c r="H18" i="4"/>
  <c r="I18" i="4" s="1"/>
  <c r="H27" i="4"/>
  <c r="I27" i="4" s="1"/>
  <c r="C296" i="2"/>
  <c r="D296" i="2"/>
  <c r="H17" i="4"/>
  <c r="J17" i="4" s="1"/>
  <c r="H16" i="4"/>
  <c r="I16" i="4" s="1"/>
  <c r="H53" i="4"/>
  <c r="I53" i="4" s="1"/>
  <c r="D295" i="2"/>
  <c r="D294" i="2"/>
  <c r="H52" i="4"/>
  <c r="I52" i="4" s="1"/>
  <c r="D293" i="2"/>
  <c r="H51" i="4"/>
  <c r="I51" i="4" s="1"/>
  <c r="D292" i="2"/>
  <c r="H15" i="4"/>
  <c r="I15" i="4" s="1"/>
  <c r="H14" i="4"/>
  <c r="I14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D291" i="2"/>
  <c r="D290" i="2"/>
  <c r="D288" i="2"/>
  <c r="D289" i="2"/>
  <c r="D287" i="2"/>
  <c r="D285" i="2"/>
  <c r="H4" i="4"/>
  <c r="I4" i="4" s="1"/>
  <c r="H5" i="4"/>
  <c r="J5" i="4" s="1"/>
  <c r="H6" i="4"/>
  <c r="I6" i="4" s="1"/>
  <c r="H7" i="4"/>
  <c r="J7" i="4" s="1"/>
  <c r="H8" i="4"/>
  <c r="I8" i="4" s="1"/>
  <c r="H9" i="4"/>
  <c r="J9" i="4" s="1"/>
  <c r="H10" i="4"/>
  <c r="J10" i="4" s="1"/>
  <c r="H11" i="4"/>
  <c r="J11" i="4" s="1"/>
  <c r="H12" i="4"/>
  <c r="J12" i="4" s="1"/>
  <c r="H13" i="4"/>
  <c r="J13" i="4" s="1"/>
  <c r="D286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48" i="2"/>
  <c r="C257" i="2"/>
  <c r="D257" i="2" s="1"/>
  <c r="B332" i="2"/>
  <c r="D267" i="2"/>
  <c r="D265" i="2"/>
  <c r="D266" i="2"/>
  <c r="D264" i="2"/>
  <c r="D263" i="2"/>
  <c r="E299" i="2"/>
  <c r="F299" i="2"/>
  <c r="D262" i="2"/>
  <c r="C261" i="2"/>
  <c r="D261" i="2" s="1"/>
  <c r="D260" i="2"/>
  <c r="D259" i="2"/>
  <c r="D258" i="2"/>
  <c r="D256" i="2"/>
  <c r="F62" i="4"/>
  <c r="D254" i="2"/>
  <c r="D255" i="2"/>
  <c r="C253" i="2"/>
  <c r="D253" i="2" s="1"/>
  <c r="D252" i="2"/>
  <c r="K34" i="4"/>
  <c r="D249" i="2"/>
  <c r="D250" i="2"/>
  <c r="D247" i="2"/>
  <c r="D246" i="2"/>
  <c r="D245" i="2"/>
  <c r="D244" i="2"/>
  <c r="D243" i="2"/>
  <c r="D242" i="2"/>
  <c r="D241" i="2"/>
  <c r="D240" i="2"/>
  <c r="D238" i="2"/>
  <c r="D239" i="2"/>
  <c r="D237" i="2"/>
  <c r="D236" i="2"/>
  <c r="D235" i="2"/>
  <c r="D234" i="2"/>
  <c r="D233" i="2"/>
  <c r="D251" i="2"/>
  <c r="D232" i="2"/>
  <c r="D231" i="2"/>
  <c r="D230" i="2"/>
  <c r="D229" i="2"/>
  <c r="K62" i="4"/>
  <c r="G34" i="4"/>
  <c r="D228" i="2"/>
  <c r="D227" i="2"/>
  <c r="D226" i="2"/>
  <c r="D225" i="2"/>
  <c r="D224" i="2"/>
  <c r="D223" i="2"/>
  <c r="D222" i="2"/>
  <c r="D221" i="2"/>
  <c r="D220" i="2"/>
  <c r="D219" i="2"/>
  <c r="G63" i="4"/>
  <c r="L62" i="4"/>
  <c r="G62" i="4"/>
  <c r="B62" i="4"/>
  <c r="G35" i="4"/>
  <c r="D218" i="2"/>
  <c r="D217" i="2"/>
  <c r="D216" i="2"/>
  <c r="C215" i="2"/>
  <c r="D215" i="2" s="1"/>
  <c r="D214" i="2"/>
  <c r="D213" i="2"/>
  <c r="D212" i="2"/>
  <c r="D211" i="2"/>
  <c r="C210" i="2"/>
  <c r="D210" i="2" s="1"/>
  <c r="D209" i="2"/>
  <c r="D208" i="2"/>
  <c r="D207" i="2"/>
  <c r="C206" i="2"/>
  <c r="D206" i="2" s="1"/>
  <c r="D43" i="1"/>
  <c r="C43" i="1"/>
  <c r="B43" i="1"/>
  <c r="D205" i="2"/>
  <c r="D204" i="2"/>
  <c r="D203" i="2"/>
  <c r="D202" i="2"/>
  <c r="D201" i="2"/>
  <c r="D200" i="2"/>
  <c r="D199" i="2"/>
  <c r="D192" i="2"/>
  <c r="D197" i="2"/>
  <c r="D196" i="2"/>
  <c r="D198" i="2"/>
  <c r="D195" i="2"/>
  <c r="D194" i="2"/>
  <c r="D193" i="2"/>
  <c r="D191" i="2"/>
  <c r="D190" i="2"/>
  <c r="D189" i="2"/>
  <c r="D187" i="2"/>
  <c r="D188" i="2"/>
  <c r="D186" i="2"/>
  <c r="D185" i="2"/>
  <c r="D184" i="2"/>
  <c r="D183" i="2"/>
  <c r="D182" i="2"/>
  <c r="D181" i="2"/>
  <c r="D178" i="2"/>
  <c r="D179" i="2"/>
  <c r="D180" i="2"/>
  <c r="F47" i="7"/>
  <c r="B47" i="7"/>
  <c r="G47" i="7"/>
  <c r="K47" i="7"/>
  <c r="D176" i="2"/>
  <c r="D177" i="2"/>
  <c r="D175" i="2"/>
  <c r="D174" i="2"/>
  <c r="D173" i="2"/>
  <c r="D172" i="2"/>
  <c r="D171" i="2"/>
  <c r="D170" i="2"/>
  <c r="D169" i="2"/>
  <c r="D168" i="2"/>
  <c r="B323" i="2"/>
  <c r="I29" i="4" l="1"/>
  <c r="J60" i="4"/>
  <c r="J30" i="4"/>
  <c r="J28" i="4"/>
  <c r="J33" i="4"/>
  <c r="J31" i="4"/>
  <c r="J32" i="4"/>
  <c r="J58" i="4"/>
  <c r="J59" i="4"/>
  <c r="I56" i="4"/>
  <c r="J54" i="4"/>
  <c r="J55" i="4"/>
  <c r="J57" i="4"/>
  <c r="J23" i="4"/>
  <c r="J26" i="4"/>
  <c r="J24" i="4"/>
  <c r="J22" i="4"/>
  <c r="J25" i="4"/>
  <c r="J21" i="4"/>
  <c r="J20" i="4"/>
  <c r="J19" i="4"/>
  <c r="J18" i="4"/>
  <c r="J27" i="4"/>
  <c r="I17" i="4"/>
  <c r="J16" i="4"/>
  <c r="J53" i="4"/>
  <c r="J52" i="4"/>
  <c r="J51" i="4"/>
  <c r="J15" i="4"/>
  <c r="J14" i="4"/>
  <c r="J50" i="4"/>
  <c r="J48" i="4"/>
  <c r="J43" i="4"/>
  <c r="J44" i="4"/>
  <c r="J46" i="4"/>
  <c r="J45" i="4"/>
  <c r="J47" i="4"/>
  <c r="J49" i="4"/>
  <c r="I7" i="4"/>
  <c r="J8" i="4"/>
  <c r="J4" i="4"/>
  <c r="I13" i="4"/>
  <c r="I10" i="4"/>
  <c r="J6" i="4"/>
  <c r="I9" i="4"/>
  <c r="I12" i="4"/>
  <c r="I5" i="4"/>
  <c r="I11" i="4"/>
  <c r="H62" i="4"/>
  <c r="H47" i="7"/>
  <c r="I47" i="7"/>
  <c r="B336" i="2"/>
  <c r="D167" i="2"/>
  <c r="D166" i="2"/>
  <c r="D164" i="2"/>
  <c r="D165" i="2"/>
  <c r="L34" i="4"/>
  <c r="F34" i="4"/>
  <c r="D163" i="2"/>
  <c r="D161" i="2"/>
  <c r="D160" i="2"/>
  <c r="D162" i="2"/>
  <c r="D159" i="2"/>
  <c r="D157" i="2"/>
  <c r="D158" i="2"/>
  <c r="D155" i="2"/>
  <c r="D156" i="2"/>
  <c r="D154" i="2"/>
  <c r="D153" i="2"/>
  <c r="D151" i="2"/>
  <c r="D152" i="2"/>
  <c r="D150" i="2"/>
  <c r="D148" i="2"/>
  <c r="D149" i="2"/>
  <c r="D147" i="2"/>
  <c r="D145" i="2"/>
  <c r="D146" i="2"/>
  <c r="D144" i="2"/>
  <c r="D143" i="2"/>
  <c r="D141" i="2"/>
  <c r="D142" i="2"/>
  <c r="D140" i="2"/>
  <c r="D139" i="2"/>
  <c r="D137" i="2"/>
  <c r="D138" i="2"/>
  <c r="D136" i="2"/>
  <c r="D135" i="2"/>
  <c r="D134" i="2"/>
  <c r="D133" i="2"/>
  <c r="B34" i="4"/>
  <c r="D132" i="2"/>
  <c r="D130" i="2"/>
  <c r="D129" i="2"/>
  <c r="D128" i="2"/>
  <c r="D127" i="2"/>
  <c r="D125" i="2"/>
  <c r="D126" i="2"/>
  <c r="D124" i="2"/>
  <c r="D115" i="2"/>
  <c r="D116" i="2"/>
  <c r="D122" i="2"/>
  <c r="D123" i="2"/>
  <c r="D113" i="2"/>
  <c r="D131" i="2"/>
  <c r="D112" i="2"/>
  <c r="D111" i="2"/>
  <c r="D110" i="2"/>
  <c r="D109" i="2"/>
  <c r="D108" i="2"/>
  <c r="D107" i="2"/>
  <c r="D106" i="2"/>
  <c r="D104" i="2"/>
  <c r="C75" i="2"/>
  <c r="D75" i="2" s="1"/>
  <c r="D103" i="2"/>
  <c r="D102" i="2"/>
  <c r="D105" i="2"/>
  <c r="D101" i="2"/>
  <c r="D100" i="2"/>
  <c r="D99" i="2"/>
  <c r="D98" i="2"/>
  <c r="D97" i="2"/>
  <c r="D96" i="2"/>
  <c r="D114" i="2"/>
  <c r="D117" i="2"/>
  <c r="D86" i="2"/>
  <c r="D119" i="2"/>
  <c r="D118" i="2"/>
  <c r="D93" i="2"/>
  <c r="D95" i="2"/>
  <c r="D94" i="2"/>
  <c r="D92" i="2"/>
  <c r="D91" i="2"/>
  <c r="D90" i="2"/>
  <c r="D89" i="2"/>
  <c r="D88" i="2"/>
  <c r="D87" i="2"/>
  <c r="D78" i="2"/>
  <c r="B76" i="2"/>
  <c r="D76" i="2" s="1"/>
  <c r="D85" i="2"/>
  <c r="D83" i="2"/>
  <c r="D84" i="2"/>
  <c r="D82" i="2"/>
  <c r="D80" i="2"/>
  <c r="D81" i="2"/>
  <c r="D121" i="2"/>
  <c r="D79" i="2"/>
  <c r="D44" i="1"/>
  <c r="D77" i="2"/>
  <c r="B26" i="5"/>
  <c r="B27" i="5" s="1"/>
  <c r="D27" i="6"/>
  <c r="D26" i="6"/>
  <c r="D25" i="6"/>
  <c r="D24" i="6"/>
  <c r="D23" i="6"/>
  <c r="D22" i="6"/>
  <c r="D17" i="6"/>
  <c r="D16" i="6"/>
  <c r="D15" i="6"/>
  <c r="D14" i="6"/>
  <c r="D13" i="6"/>
  <c r="D12" i="6"/>
  <c r="D8" i="6"/>
  <c r="D7" i="6"/>
  <c r="D6" i="6"/>
  <c r="D5" i="6"/>
  <c r="D4" i="6"/>
  <c r="D3" i="6"/>
  <c r="D74" i="2"/>
  <c r="D72" i="2"/>
  <c r="D71" i="2"/>
  <c r="D73" i="2"/>
  <c r="D69" i="2"/>
  <c r="D68" i="2"/>
  <c r="D70" i="2"/>
  <c r="D66" i="2"/>
  <c r="D64" i="2"/>
  <c r="D65" i="2"/>
  <c r="D32" i="2"/>
  <c r="D63" i="2"/>
  <c r="D62" i="2"/>
  <c r="D61" i="2"/>
  <c r="D120" i="2"/>
  <c r="D59" i="2"/>
  <c r="C58" i="2"/>
  <c r="D58" i="2" s="1"/>
  <c r="D57" i="2"/>
  <c r="D56" i="2"/>
  <c r="D55" i="2"/>
  <c r="D54" i="2"/>
  <c r="C52" i="2"/>
  <c r="D53" i="2"/>
  <c r="B52" i="2"/>
  <c r="D51" i="2"/>
  <c r="D50" i="2"/>
  <c r="D49" i="2"/>
  <c r="D47" i="2"/>
  <c r="D67" i="2"/>
  <c r="D46" i="2"/>
  <c r="D45" i="2"/>
  <c r="D48" i="2"/>
  <c r="D44" i="2"/>
  <c r="D41" i="2"/>
  <c r="D42" i="2"/>
  <c r="D33" i="2"/>
  <c r="D43" i="2"/>
  <c r="D40" i="2"/>
  <c r="D38" i="2"/>
  <c r="D39" i="2"/>
  <c r="D37" i="2"/>
  <c r="B29" i="5"/>
  <c r="C63" i="3"/>
  <c r="D300" i="2"/>
  <c r="D30" i="2"/>
  <c r="D34" i="2"/>
  <c r="D35" i="2"/>
  <c r="D23" i="2"/>
  <c r="D28" i="2"/>
  <c r="D36" i="2"/>
  <c r="D29" i="2"/>
  <c r="D31" i="2"/>
  <c r="D27" i="2"/>
  <c r="D25" i="2"/>
  <c r="D24" i="2"/>
  <c r="D22" i="2"/>
  <c r="D21" i="2"/>
  <c r="D26" i="2"/>
  <c r="D5" i="2"/>
  <c r="D10" i="2"/>
  <c r="C3" i="2"/>
  <c r="D4" i="2"/>
  <c r="D17" i="2"/>
  <c r="D19" i="2"/>
  <c r="D60" i="2"/>
  <c r="D18" i="2"/>
  <c r="D20" i="2"/>
  <c r="D15" i="2"/>
  <c r="D14" i="2"/>
  <c r="D16" i="2"/>
  <c r="D13" i="2"/>
  <c r="E37" i="3"/>
  <c r="F62" i="3"/>
  <c r="D12" i="2"/>
  <c r="D11" i="2"/>
  <c r="D9" i="2"/>
  <c r="D8" i="2"/>
  <c r="D7" i="2"/>
  <c r="D2" i="2"/>
  <c r="D6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C299" i="2" l="1"/>
  <c r="B299" i="2"/>
  <c r="J62" i="4"/>
  <c r="J34" i="4"/>
  <c r="I62" i="4"/>
  <c r="E20" i="6"/>
  <c r="F20" i="6" s="1"/>
  <c r="G20" i="6" s="1"/>
  <c r="E2" i="6"/>
  <c r="F2" i="6" s="1"/>
  <c r="G2" i="6" s="1"/>
  <c r="E11" i="6"/>
  <c r="F11" i="6" s="1"/>
  <c r="G11" i="6" s="1"/>
  <c r="D52" i="2"/>
  <c r="D3" i="2"/>
  <c r="E62" i="3"/>
  <c r="H34" i="4"/>
  <c r="I34" i="4"/>
  <c r="D299" i="2" l="1"/>
  <c r="B333" i="2" s="1"/>
  <c r="A303" i="2" l="1"/>
</calcChain>
</file>

<file path=xl/sharedStrings.xml><?xml version="1.0" encoding="utf-8"?>
<sst xmlns="http://schemas.openxmlformats.org/spreadsheetml/2006/main" count="1242" uniqueCount="590">
  <si>
    <t>名称</t>
  </si>
  <si>
    <t>数量</t>
  </si>
  <si>
    <t>单价</t>
  </si>
  <si>
    <t>成本</t>
  </si>
  <si>
    <t>HD量子高清高透(400张膜箱)</t>
  </si>
  <si>
    <r>
      <rPr>
        <b/>
        <sz val="12"/>
        <color rgb="FF1B1C21"/>
        <rFont val="微软雅黑"/>
        <family val="2"/>
        <charset val="134"/>
      </rPr>
      <t>金</t>
    </r>
    <r>
      <rPr>
        <b/>
        <sz val="12"/>
        <color rgb="FF1B1C21"/>
        <rFont val="等线"/>
        <family val="2"/>
        <charset val="134"/>
      </rPr>
      <t>刚</t>
    </r>
    <r>
      <rPr>
        <b/>
        <sz val="12"/>
        <color rgb="FF1B1C21"/>
        <rFont val="微软雅黑"/>
        <family val="2"/>
        <charset val="134"/>
      </rPr>
      <t>超级钢化膜</t>
    </r>
    <r>
      <rPr>
        <b/>
        <sz val="12"/>
        <color rgb="FF1B1C21"/>
        <rFont val="Segoe UI"/>
        <family val="2"/>
      </rPr>
      <t>(200</t>
    </r>
    <r>
      <rPr>
        <b/>
        <sz val="12"/>
        <color rgb="FF1B1C21"/>
        <rFont val="微软雅黑"/>
        <family val="2"/>
        <charset val="134"/>
      </rPr>
      <t>张膜箱</t>
    </r>
    <r>
      <rPr>
        <b/>
        <sz val="12"/>
        <color rgb="FF1B1C21"/>
        <rFont val="Segoe UI"/>
        <family val="2"/>
      </rPr>
      <t>)</t>
    </r>
    <phoneticPr fontId="2" type="noConversion"/>
  </si>
  <si>
    <r>
      <rPr>
        <b/>
        <sz val="12"/>
        <color rgb="FF1B1C21"/>
        <rFont val="微软雅黑"/>
        <family val="2"/>
        <charset val="134"/>
      </rPr>
      <t>曲面自修复光</t>
    </r>
    <r>
      <rPr>
        <b/>
        <sz val="12"/>
        <color rgb="FF1B1C21"/>
        <rFont val="等线"/>
        <family val="2"/>
        <charset val="134"/>
      </rPr>
      <t>固</t>
    </r>
    <r>
      <rPr>
        <b/>
        <sz val="12"/>
        <color rgb="FF1B1C21"/>
        <rFont val="微软雅黑"/>
        <family val="2"/>
        <charset val="134"/>
      </rPr>
      <t>膜</t>
    </r>
    <r>
      <rPr>
        <b/>
        <sz val="12"/>
        <color rgb="FF1B1C21"/>
        <rFont val="Segoe UI"/>
        <family val="2"/>
      </rPr>
      <t>(110</t>
    </r>
    <r>
      <rPr>
        <b/>
        <sz val="12"/>
        <color rgb="FF1B1C21"/>
        <rFont val="微软雅黑"/>
        <family val="2"/>
        <charset val="134"/>
      </rPr>
      <t>张模箱</t>
    </r>
    <r>
      <rPr>
        <b/>
        <sz val="12"/>
        <color rgb="FF1B1C21"/>
        <rFont val="Segoe UI"/>
        <family val="2"/>
      </rPr>
      <t>)</t>
    </r>
    <phoneticPr fontId="2" type="noConversion"/>
  </si>
  <si>
    <r>
      <rPr>
        <b/>
        <sz val="12"/>
        <color rgb="FF1B1C21"/>
        <rFont val="等线"/>
        <family val="2"/>
        <charset val="134"/>
      </rPr>
      <t>电镀</t>
    </r>
    <r>
      <rPr>
        <b/>
        <sz val="12"/>
        <color rgb="FF1B1C21"/>
        <rFont val="微软雅黑"/>
        <family val="2"/>
        <charset val="134"/>
      </rPr>
      <t>光固免保压</t>
    </r>
    <r>
      <rPr>
        <b/>
        <sz val="12"/>
        <color rgb="FF1B1C21"/>
        <rFont val="Segoe UI"/>
        <family val="2"/>
      </rPr>
      <t>(105</t>
    </r>
    <r>
      <rPr>
        <b/>
        <sz val="12"/>
        <color rgb="FF1B1C21"/>
        <rFont val="微软雅黑"/>
        <family val="2"/>
        <charset val="134"/>
      </rPr>
      <t>张膜箱</t>
    </r>
    <r>
      <rPr>
        <b/>
        <sz val="12"/>
        <color rgb="FF1B1C21"/>
        <rFont val="Segoe UI"/>
        <family val="2"/>
      </rPr>
      <t>)</t>
    </r>
    <phoneticPr fontId="2" type="noConversion"/>
  </si>
  <si>
    <t>曲面免烤自修复防窥膜(85张)</t>
  </si>
  <si>
    <t>直面28°电锯防窥钢化膜(108张)</t>
  </si>
  <si>
    <t>AR高清增透钢化膜（全型号）</t>
  </si>
  <si>
    <t>AG电竞磨砂钢化膜（全型号）</t>
  </si>
  <si>
    <t>360°高清防窥钢化膜（全型号）</t>
  </si>
  <si>
    <t>折叠膜一套ZD01-ZD08.ZD10.ZD12</t>
  </si>
  <si>
    <t>折叠模ZD09</t>
  </si>
  <si>
    <t>Q01-Q10一套(10个型号各2张)</t>
  </si>
  <si>
    <t>全胶防窥QF01-QF05(5个型号各2张)</t>
  </si>
  <si>
    <t>纳米全胶膜膜箱(42张)</t>
  </si>
  <si>
    <t>AR脱离高清镜头膜箱(26个)</t>
  </si>
  <si>
    <t>全能款手机壳箱(344个)</t>
  </si>
  <si>
    <t>平板膜箱(26张)</t>
  </si>
  <si>
    <t>B01-B12全型号(iPhone系列)</t>
  </si>
  <si>
    <t>积米钢化膜展示架（大）</t>
  </si>
  <si>
    <t>垫子</t>
  </si>
  <si>
    <t>大号擦布</t>
  </si>
  <si>
    <t>清洁剂</t>
  </si>
  <si>
    <t>刮板</t>
  </si>
  <si>
    <t>O型展架</t>
  </si>
  <si>
    <t>固化灯</t>
  </si>
  <si>
    <t>加热器</t>
  </si>
  <si>
    <t>贴膜价格等展示牌</t>
  </si>
  <si>
    <t>店无忧会员管理软件（永久版）</t>
  </si>
  <si>
    <t>积米展示柜（3米×2.4米）</t>
  </si>
  <si>
    <t>C-L苹果14系列套装</t>
  </si>
  <si>
    <t>C-C苹果15系列套装</t>
  </si>
  <si>
    <t>闪能1号线(120W A-C)</t>
  </si>
  <si>
    <t>闪能2号线(120W C-C)</t>
  </si>
  <si>
    <t>闪能3号线(PD 35W C-L)</t>
  </si>
  <si>
    <t>氯化镓20W PD单头</t>
  </si>
  <si>
    <t>新国标20W足瓦C-C套装</t>
  </si>
  <si>
    <t>新国标20W足瓦C-L套装</t>
  </si>
  <si>
    <t>A02-T 120W氮化镓充电器</t>
  </si>
  <si>
    <t>A03-T 200W氮化镓充电器</t>
  </si>
  <si>
    <t>A04-T 240W双口充电器</t>
  </si>
  <si>
    <t>A05-T 200W C-C套装</t>
  </si>
  <si>
    <t>汇总</t>
  </si>
  <si>
    <t>今日日期</t>
    <phoneticPr fontId="2" type="noConversion"/>
  </si>
  <si>
    <t>项目</t>
    <phoneticPr fontId="2" type="noConversion"/>
  </si>
  <si>
    <t>金额</t>
    <phoneticPr fontId="2" type="noConversion"/>
  </si>
  <si>
    <t>成本</t>
    <phoneticPr fontId="2" type="noConversion"/>
  </si>
  <si>
    <t>纯利</t>
    <phoneticPr fontId="2" type="noConversion"/>
  </si>
  <si>
    <t>日期</t>
    <phoneticPr fontId="2" type="noConversion"/>
  </si>
  <si>
    <t>收机备注</t>
    <phoneticPr fontId="2" type="noConversion"/>
  </si>
  <si>
    <t>配件：钢化膜</t>
    <phoneticPr fontId="2" type="noConversion"/>
  </si>
  <si>
    <t>结清</t>
    <phoneticPr fontId="2" type="noConversion"/>
  </si>
  <si>
    <t>手表：Apple Watch S9</t>
    <phoneticPr fontId="2" type="noConversion"/>
  </si>
  <si>
    <t>手机：iPhone12</t>
    <phoneticPr fontId="2" type="noConversion"/>
  </si>
  <si>
    <t>维修：iPhone7Plus</t>
    <phoneticPr fontId="2" type="noConversion"/>
  </si>
  <si>
    <t>手机：iPhone13Pro置换iPhone14Pro</t>
    <phoneticPr fontId="2" type="noConversion"/>
  </si>
  <si>
    <t>手机：iPhone13换iPhone15</t>
    <phoneticPr fontId="2" type="noConversion"/>
  </si>
  <si>
    <t>配件：水凝膜</t>
    <phoneticPr fontId="2" type="noConversion"/>
  </si>
  <si>
    <t>笔记本：神舟战神Z8</t>
    <phoneticPr fontId="2" type="noConversion"/>
  </si>
  <si>
    <t>笔记本：联想R9000P</t>
    <phoneticPr fontId="2" type="noConversion"/>
  </si>
  <si>
    <t>配件：充电器</t>
    <phoneticPr fontId="2" type="noConversion"/>
  </si>
  <si>
    <t>手机：红米9A</t>
  </si>
  <si>
    <t>手机：iPhoneXR</t>
  </si>
  <si>
    <t>手机：华为Mate30Pro</t>
  </si>
  <si>
    <t>笔记本：MacBookAri(2015)</t>
    <phoneticPr fontId="2" type="noConversion"/>
  </si>
  <si>
    <t>游戏机：Switch</t>
    <phoneticPr fontId="2" type="noConversion"/>
  </si>
  <si>
    <t xml:space="preserve">手机：iPhone13 </t>
  </si>
  <si>
    <t>手机：红米Note12</t>
  </si>
  <si>
    <t>手机：OPPOReno6Pro+</t>
  </si>
  <si>
    <t>手机：红米K50Pro</t>
  </si>
  <si>
    <t>手机：iPhone11</t>
  </si>
  <si>
    <t>维修：iPhone15ProMax换屏</t>
    <phoneticPr fontId="2" type="noConversion"/>
  </si>
  <si>
    <t>手机：华为Nova14</t>
  </si>
  <si>
    <t>手机：红米Note9Pro</t>
  </si>
  <si>
    <t>手机：华为MateXT（全新）</t>
  </si>
  <si>
    <t>手机：iPhone16ProMax</t>
    <phoneticPr fontId="2" type="noConversion"/>
  </si>
  <si>
    <t>平板：iPad M3</t>
    <phoneticPr fontId="2" type="noConversion"/>
  </si>
  <si>
    <t>手机：17PM（全新）</t>
  </si>
  <si>
    <t>维修：华为Mate30Pro换屏+换电池</t>
    <phoneticPr fontId="2" type="noConversion"/>
  </si>
  <si>
    <t>手机：iPhone8Plus</t>
    <phoneticPr fontId="2" type="noConversion"/>
  </si>
  <si>
    <t>充新机:iPhone17</t>
    <phoneticPr fontId="2" type="noConversion"/>
  </si>
  <si>
    <t>手机：OPPOA72</t>
  </si>
  <si>
    <t>维修：iPhone14Pro换屏+电池</t>
    <phoneticPr fontId="2" type="noConversion"/>
  </si>
  <si>
    <t>手表：Apple Watch S11</t>
    <phoneticPr fontId="2" type="noConversion"/>
  </si>
  <si>
    <t xml:space="preserve">手机：iPhone16Pro </t>
    <phoneticPr fontId="2" type="noConversion"/>
  </si>
  <si>
    <t>手机：OPPOA6</t>
  </si>
  <si>
    <t>配件：充电线</t>
    <phoneticPr fontId="2" type="noConversion"/>
  </si>
  <si>
    <t>手表：AppleWatchS21</t>
    <phoneticPr fontId="2" type="noConversion"/>
  </si>
  <si>
    <t>维修:iPhone8Plus</t>
    <phoneticPr fontId="2" type="noConversion"/>
  </si>
  <si>
    <t>其他</t>
    <phoneticPr fontId="2" type="noConversion"/>
  </si>
  <si>
    <t>手机：iPhone17（全新）</t>
    <phoneticPr fontId="2" type="noConversion"/>
  </si>
  <si>
    <t>笔记本：华硕a豆14</t>
    <phoneticPr fontId="2" type="noConversion"/>
  </si>
  <si>
    <t>手机：iPhone12Mini</t>
    <phoneticPr fontId="2" type="noConversion"/>
  </si>
  <si>
    <t>手机：iPhone14</t>
    <phoneticPr fontId="2" type="noConversion"/>
  </si>
  <si>
    <t>维修：红米K30Pro</t>
    <phoneticPr fontId="2" type="noConversion"/>
  </si>
  <si>
    <t>手机：荣耀50SE</t>
  </si>
  <si>
    <t>手机：iPhone15Plus（监管）</t>
    <phoneticPr fontId="2" type="noConversion"/>
  </si>
  <si>
    <t>手机：iPhone12ProMax</t>
    <phoneticPr fontId="2" type="noConversion"/>
  </si>
  <si>
    <t>手机：一加Ace5</t>
  </si>
  <si>
    <t>手机：iPhone17（充新）</t>
    <phoneticPr fontId="2" type="noConversion"/>
  </si>
  <si>
    <t>维修：14Pro换屏</t>
    <phoneticPr fontId="2" type="noConversion"/>
  </si>
  <si>
    <t>手机：iPhone17Pro</t>
    <phoneticPr fontId="2" type="noConversion"/>
  </si>
  <si>
    <t>平板（抵押）：iPadPro(M4)</t>
    <phoneticPr fontId="2" type="noConversion"/>
  </si>
  <si>
    <t xml:space="preserve">手机：iPhone13Pro </t>
    <phoneticPr fontId="2" type="noConversion"/>
  </si>
  <si>
    <t xml:space="preserve">手机：iPhone14Pro </t>
    <phoneticPr fontId="2" type="noConversion"/>
  </si>
  <si>
    <t>手机：iPhone15</t>
    <phoneticPr fontId="2" type="noConversion"/>
  </si>
  <si>
    <t>维修：小米14主板</t>
    <phoneticPr fontId="2" type="noConversion"/>
  </si>
  <si>
    <t>手机：红米K90(全新）</t>
    <phoneticPr fontId="2" type="noConversion"/>
  </si>
  <si>
    <t>维修：IQOONeo8Pro换屏</t>
    <phoneticPr fontId="2" type="noConversion"/>
  </si>
  <si>
    <t>维修：iPhoneXR主板</t>
    <phoneticPr fontId="2" type="noConversion"/>
  </si>
  <si>
    <t>手机：iPhone16(全新）</t>
    <phoneticPr fontId="2" type="noConversion"/>
  </si>
  <si>
    <t>手机：iPhone15Pro</t>
    <phoneticPr fontId="2" type="noConversion"/>
  </si>
  <si>
    <t>手机：荣耀Magic3至臻</t>
    <phoneticPr fontId="2" type="noConversion"/>
  </si>
  <si>
    <t>平板:ipad8+一代笔</t>
    <phoneticPr fontId="2" type="noConversion"/>
  </si>
  <si>
    <t>手机：iPhone13Pro</t>
    <phoneticPr fontId="2" type="noConversion"/>
  </si>
  <si>
    <t>手机：小米Mix2s</t>
    <phoneticPr fontId="2" type="noConversion"/>
  </si>
  <si>
    <t>手机：真我V20</t>
  </si>
  <si>
    <t>手机：VIVOS12</t>
  </si>
  <si>
    <t>维修：红米K40</t>
    <phoneticPr fontId="2" type="noConversion"/>
  </si>
  <si>
    <t>手机：iPhone11</t>
    <phoneticPr fontId="2" type="noConversion"/>
  </si>
  <si>
    <t>手机：金立M2017</t>
  </si>
  <si>
    <t xml:space="preserve">手机：iPhone16Pro  </t>
    <phoneticPr fontId="2" type="noConversion"/>
  </si>
  <si>
    <t>手机：OPPOA8</t>
  </si>
  <si>
    <t>手机：iPhone16Pro</t>
  </si>
  <si>
    <t>手机：iPhone6s</t>
  </si>
  <si>
    <t>维修：刷机</t>
    <phoneticPr fontId="2" type="noConversion"/>
  </si>
  <si>
    <t>手机：iPhone13</t>
    <phoneticPr fontId="2" type="noConversion"/>
  </si>
  <si>
    <t>维修：红米Note12Pro换屏</t>
    <phoneticPr fontId="2" type="noConversion"/>
  </si>
  <si>
    <t>维修：VIVOX100</t>
    <phoneticPr fontId="2" type="noConversion"/>
  </si>
  <si>
    <t>手机：iPhone12Pro</t>
    <phoneticPr fontId="2" type="noConversion"/>
  </si>
  <si>
    <t>手机：华为Mate80Pro （闲鱼）</t>
    <phoneticPr fontId="2" type="noConversion"/>
  </si>
  <si>
    <t xml:space="preserve"> 笔记本：戴尔惠普星14s青春版</t>
    <phoneticPr fontId="2" type="noConversion"/>
  </si>
  <si>
    <t>手机：iPhone16 （闲鱼）</t>
    <phoneticPr fontId="2" type="noConversion"/>
  </si>
  <si>
    <t>配件：内存条</t>
    <phoneticPr fontId="2" type="noConversion"/>
  </si>
  <si>
    <t>手机：iPhone15Pro （闲鱼）</t>
    <phoneticPr fontId="2" type="noConversion"/>
  </si>
  <si>
    <t>维修：红米K50天线</t>
    <phoneticPr fontId="2" type="noConversion"/>
  </si>
  <si>
    <t>手机：小米14Pro</t>
  </si>
  <si>
    <t>手机：荣耀</t>
  </si>
  <si>
    <t>手机：VIVOY9s</t>
  </si>
  <si>
    <t>维修：iPhone13换屏</t>
    <phoneticPr fontId="2" type="noConversion"/>
  </si>
  <si>
    <t>手机：IQOONeo9</t>
  </si>
  <si>
    <t>手机：iPhone15ProMax</t>
    <phoneticPr fontId="2" type="noConversion"/>
  </si>
  <si>
    <t>配件：灯</t>
    <phoneticPr fontId="2" type="noConversion"/>
  </si>
  <si>
    <t>配件：卷胶机</t>
    <phoneticPr fontId="2" type="noConversion"/>
  </si>
  <si>
    <t>手机：华为</t>
  </si>
  <si>
    <t>手机：OPPO</t>
  </si>
  <si>
    <t xml:space="preserve">手机：iPhone13ProMax </t>
    <phoneticPr fontId="2" type="noConversion"/>
  </si>
  <si>
    <t>手机：iPhone11ProMax(美版）</t>
    <phoneticPr fontId="2" type="noConversion"/>
  </si>
  <si>
    <t>手机：华为Pura70Pro</t>
  </si>
  <si>
    <t>手机：红米Note8Pro</t>
  </si>
  <si>
    <t>手机：IQOO退款</t>
  </si>
  <si>
    <t>手机：IQOO15（全新）</t>
  </si>
  <si>
    <t>手机：VIVOXFold3</t>
  </si>
  <si>
    <t>手机：IQOONeo10</t>
  </si>
  <si>
    <t>手机：华为MateX7(全新）</t>
  </si>
  <si>
    <t>笔记本：雷神911</t>
    <phoneticPr fontId="2" type="noConversion"/>
  </si>
  <si>
    <t>手机：红米K60（出租）</t>
  </si>
  <si>
    <t>手机：iPhone13ProMax</t>
    <phoneticPr fontId="2" type="noConversion"/>
  </si>
  <si>
    <t>平板： iPad MINI6（闲鱼）</t>
    <phoneticPr fontId="2" type="noConversion"/>
  </si>
  <si>
    <t>支出：电费</t>
    <phoneticPr fontId="2" type="noConversion"/>
  </si>
  <si>
    <t>支出：切膜机</t>
    <phoneticPr fontId="2" type="noConversion"/>
  </si>
  <si>
    <t>手表：Apple Watch S11(闲鱼)</t>
    <phoneticPr fontId="2" type="noConversion"/>
  </si>
  <si>
    <t>平板：VIVO(闲鱼)</t>
    <phoneticPr fontId="2" type="noConversion"/>
  </si>
  <si>
    <t>手机：IQOO(闲鱼)</t>
  </si>
  <si>
    <t>手机：VIVOX70(闲鱼)</t>
    <phoneticPr fontId="2" type="noConversion"/>
  </si>
  <si>
    <t>手机：荣耀90(闲鱼)</t>
  </si>
  <si>
    <t>手机：小米10s(闲鱼)</t>
  </si>
  <si>
    <t>维修：OPPOA92s 开机键</t>
    <phoneticPr fontId="2" type="noConversion"/>
  </si>
  <si>
    <t>配件：A-C数据线</t>
    <phoneticPr fontId="2" type="noConversion"/>
  </si>
  <si>
    <t>手表：AppleWatch S11(闲鱼)</t>
    <phoneticPr fontId="2" type="noConversion"/>
  </si>
  <si>
    <t>维修:真我GT5Pro换屏</t>
    <phoneticPr fontId="2" type="noConversion"/>
  </si>
  <si>
    <t>手机：小米17Pro(闲鱼)</t>
  </si>
  <si>
    <t>手机：小米11Ultra</t>
  </si>
  <si>
    <t>维修：OPPOA93S换屏</t>
    <phoneticPr fontId="2" type="noConversion"/>
  </si>
  <si>
    <t>维修：红米K60换屏</t>
    <phoneticPr fontId="2" type="noConversion"/>
  </si>
  <si>
    <t>手机：华为P40Pro</t>
    <phoneticPr fontId="2" type="noConversion"/>
  </si>
  <si>
    <t>手机：华为mate50E</t>
    <phoneticPr fontId="2" type="noConversion"/>
  </si>
  <si>
    <t>平板:ipadPro4（闲鱼）</t>
    <phoneticPr fontId="2" type="noConversion"/>
  </si>
  <si>
    <t>手机：红米K80</t>
    <phoneticPr fontId="2" type="noConversion"/>
  </si>
  <si>
    <t>维修：红米K50换屏</t>
    <phoneticPr fontId="2" type="noConversion"/>
  </si>
  <si>
    <t>手机：小米15Ultra（闲鱼）</t>
  </si>
  <si>
    <t>维修：畅享50换屏</t>
    <phoneticPr fontId="2" type="noConversion"/>
  </si>
  <si>
    <t>手机：iPhone17ProMax(全新）</t>
    <phoneticPr fontId="2" type="noConversion"/>
  </si>
  <si>
    <t>手机：荣耀60Pro</t>
  </si>
  <si>
    <t>配件：A-C充电器</t>
    <phoneticPr fontId="2" type="noConversion"/>
  </si>
  <si>
    <t>维修：荣耀Play8T换屏</t>
    <phoneticPr fontId="2" type="noConversion"/>
  </si>
  <si>
    <t>平板:华为MatePad</t>
    <phoneticPr fontId="2" type="noConversion"/>
  </si>
  <si>
    <t>维修：iPhone14Pro换电池</t>
    <phoneticPr fontId="2" type="noConversion"/>
  </si>
  <si>
    <t>手机：华为P50Pro</t>
    <phoneticPr fontId="2" type="noConversion"/>
  </si>
  <si>
    <t>支出：电路整修</t>
    <phoneticPr fontId="2" type="noConversion"/>
  </si>
  <si>
    <t>手机：荣耀Magic8</t>
    <phoneticPr fontId="2" type="noConversion"/>
  </si>
  <si>
    <t>配件：水凝膜(3D）</t>
    <phoneticPr fontId="2" type="noConversion"/>
  </si>
  <si>
    <t>手机：荣耀30s</t>
    <phoneticPr fontId="2" type="noConversion"/>
  </si>
  <si>
    <t>手机：华为畅享10</t>
    <phoneticPr fontId="2" type="noConversion"/>
  </si>
  <si>
    <t>手机：9部（3+2+3+1）</t>
    <phoneticPr fontId="2" type="noConversion"/>
  </si>
  <si>
    <t>手机：iPhone16Pro</t>
    <phoneticPr fontId="2" type="noConversion"/>
  </si>
  <si>
    <t>平板：iPad Ari4</t>
    <phoneticPr fontId="2" type="noConversion"/>
  </si>
  <si>
    <t>手表：S10 42（闲鱼）</t>
    <phoneticPr fontId="2" type="noConversion"/>
  </si>
  <si>
    <t>平板：华为MatePadPro（闲鱼）</t>
    <phoneticPr fontId="2" type="noConversion"/>
  </si>
  <si>
    <t xml:space="preserve">手机：iPhone13 </t>
    <phoneticPr fontId="2" type="noConversion"/>
  </si>
  <si>
    <t xml:space="preserve">手机：iPhone16ProMax </t>
    <phoneticPr fontId="2" type="noConversion"/>
  </si>
  <si>
    <t>维修：OPPOA11X换屏</t>
    <phoneticPr fontId="2" type="noConversion"/>
  </si>
  <si>
    <t>支出：皮筋</t>
    <phoneticPr fontId="2" type="noConversion"/>
  </si>
  <si>
    <t>手机：华为畅享80（闲鱼）</t>
    <phoneticPr fontId="2" type="noConversion"/>
  </si>
  <si>
    <t>手机：荣耀Power2</t>
    <phoneticPr fontId="2" type="noConversion"/>
  </si>
  <si>
    <t>手机：荣耀X40GT</t>
    <phoneticPr fontId="2" type="noConversion"/>
  </si>
  <si>
    <t>手机：iPhone14ProMax</t>
    <phoneticPr fontId="2" type="noConversion"/>
  </si>
  <si>
    <t>手机：柔宇2</t>
    <phoneticPr fontId="2" type="noConversion"/>
  </si>
  <si>
    <t>平板：荣耀Magic3Pro</t>
    <phoneticPr fontId="2" type="noConversion"/>
  </si>
  <si>
    <t>手机：iPhone14Pro</t>
    <phoneticPr fontId="2" type="noConversion"/>
  </si>
  <si>
    <t>维修：OPPPA53换外屏</t>
    <phoneticPr fontId="2" type="noConversion"/>
  </si>
  <si>
    <t>手机：荣耀50se</t>
    <phoneticPr fontId="2" type="noConversion"/>
  </si>
  <si>
    <t>手机：荣耀X60（闲鱼）</t>
    <phoneticPr fontId="2" type="noConversion"/>
  </si>
  <si>
    <t>手机：IQOOZ9x（闲鱼）</t>
    <phoneticPr fontId="2" type="noConversion"/>
  </si>
  <si>
    <t>总计</t>
    <phoneticPr fontId="2" type="noConversion"/>
  </si>
  <si>
    <t>还钱详情</t>
    <phoneticPr fontId="2" type="noConversion"/>
  </si>
  <si>
    <t>总共欠款</t>
    <phoneticPr fontId="2" type="noConversion"/>
  </si>
  <si>
    <t>剩余欠款</t>
    <phoneticPr fontId="2" type="noConversion"/>
  </si>
  <si>
    <t>日常生活开支</t>
    <phoneticPr fontId="2" type="noConversion"/>
  </si>
  <si>
    <t>小计</t>
    <phoneticPr fontId="2" type="noConversion"/>
  </si>
  <si>
    <t>店铺剩余金额</t>
    <phoneticPr fontId="2" type="noConversion"/>
  </si>
  <si>
    <t>当前日期</t>
    <phoneticPr fontId="2" type="noConversion"/>
  </si>
  <si>
    <t xml:space="preserve"> </t>
    <phoneticPr fontId="2" type="noConversion"/>
  </si>
  <si>
    <t>关你西红柿</t>
    <phoneticPr fontId="6" type="noConversion"/>
  </si>
  <si>
    <t>名称</t>
    <phoneticPr fontId="6" type="noConversion"/>
  </si>
  <si>
    <t>电池</t>
    <phoneticPr fontId="6" type="noConversion"/>
  </si>
  <si>
    <t>内存</t>
    <phoneticPr fontId="6" type="noConversion"/>
  </si>
  <si>
    <t>颜色</t>
    <phoneticPr fontId="6" type="noConversion"/>
  </si>
  <si>
    <t>序列号</t>
    <phoneticPr fontId="6" type="noConversion"/>
  </si>
  <si>
    <t>成本</t>
    <phoneticPr fontId="6" type="noConversion"/>
  </si>
  <si>
    <t>售价</t>
    <phoneticPr fontId="6" type="noConversion"/>
  </si>
  <si>
    <t>手续费</t>
    <phoneticPr fontId="6" type="noConversion"/>
  </si>
  <si>
    <t>实际到手</t>
    <phoneticPr fontId="6" type="noConversion"/>
  </si>
  <si>
    <t>预计利润</t>
    <phoneticPr fontId="6" type="noConversion"/>
  </si>
  <si>
    <t>备注</t>
    <phoneticPr fontId="6" type="noConversion"/>
  </si>
  <si>
    <t>时间</t>
    <phoneticPr fontId="6" type="noConversion"/>
  </si>
  <si>
    <t>iPhoneXsMax</t>
    <phoneticPr fontId="6" type="noConversion"/>
  </si>
  <si>
    <t>金色</t>
    <phoneticPr fontId="6" type="noConversion"/>
  </si>
  <si>
    <t>96856</t>
    <phoneticPr fontId="6" type="noConversion"/>
  </si>
  <si>
    <t>华为P50Pro</t>
    <phoneticPr fontId="6" type="noConversion"/>
  </si>
  <si>
    <t>8+256</t>
    <phoneticPr fontId="6" type="noConversion"/>
  </si>
  <si>
    <t>47135</t>
    <phoneticPr fontId="6" type="noConversion"/>
  </si>
  <si>
    <t>荣耀90</t>
    <phoneticPr fontId="6" type="noConversion"/>
  </si>
  <si>
    <t>16+256</t>
    <phoneticPr fontId="6" type="noConversion"/>
  </si>
  <si>
    <t>黑色</t>
    <phoneticPr fontId="6" type="noConversion"/>
  </si>
  <si>
    <t>95234</t>
    <phoneticPr fontId="6" type="noConversion"/>
  </si>
  <si>
    <t>12+256</t>
    <phoneticPr fontId="6" type="noConversion"/>
  </si>
  <si>
    <t>华为Mate60Pro+</t>
    <phoneticPr fontId="6" type="noConversion"/>
  </si>
  <si>
    <t>16+512</t>
    <phoneticPr fontId="6" type="noConversion"/>
  </si>
  <si>
    <t>51400</t>
    <phoneticPr fontId="6" type="noConversion"/>
  </si>
  <si>
    <t>广告</t>
    <phoneticPr fontId="6" type="noConversion"/>
  </si>
  <si>
    <t>蓝色</t>
    <phoneticPr fontId="6" type="noConversion"/>
  </si>
  <si>
    <t>白色</t>
    <phoneticPr fontId="6" type="noConversion"/>
  </si>
  <si>
    <t>iPhone8</t>
    <phoneticPr fontId="6" type="noConversion"/>
  </si>
  <si>
    <t xml:space="preserve"> </t>
    <phoneticPr fontId="6" type="noConversion"/>
  </si>
  <si>
    <t>华为Mate50Pro</t>
    <phoneticPr fontId="6" type="noConversion"/>
  </si>
  <si>
    <t>8+512</t>
    <phoneticPr fontId="6" type="noConversion"/>
  </si>
  <si>
    <t>48633</t>
    <phoneticPr fontId="6" type="noConversion"/>
  </si>
  <si>
    <t>iPhoneX</t>
    <phoneticPr fontId="6" type="noConversion"/>
  </si>
  <si>
    <t>20892</t>
    <phoneticPr fontId="6" type="noConversion"/>
  </si>
  <si>
    <t xml:space="preserve">iPhoneXs </t>
    <phoneticPr fontId="6" type="noConversion"/>
  </si>
  <si>
    <t>69792</t>
    <phoneticPr fontId="6" type="noConversion"/>
  </si>
  <si>
    <t>iPhone15Pro</t>
    <phoneticPr fontId="6" type="noConversion"/>
  </si>
  <si>
    <t>iPhone11Pro</t>
    <phoneticPr fontId="6" type="noConversion"/>
  </si>
  <si>
    <t>绿色</t>
    <phoneticPr fontId="6" type="noConversion"/>
  </si>
  <si>
    <t>99555</t>
    <phoneticPr fontId="6" type="noConversion"/>
  </si>
  <si>
    <t>iPad Pro 3</t>
    <phoneticPr fontId="6" type="noConversion"/>
  </si>
  <si>
    <t>灰色</t>
    <phoneticPr fontId="6" type="noConversion"/>
  </si>
  <si>
    <t>银色</t>
    <phoneticPr fontId="6" type="noConversion"/>
  </si>
  <si>
    <t>46425</t>
    <phoneticPr fontId="6" type="noConversion"/>
  </si>
  <si>
    <t>49843</t>
    <phoneticPr fontId="6" type="noConversion"/>
  </si>
  <si>
    <t>汇总</t>
    <phoneticPr fontId="6" type="noConversion"/>
  </si>
  <si>
    <t>困了就睡</t>
    <phoneticPr fontId="6" type="noConversion"/>
  </si>
  <si>
    <t>红色</t>
    <phoneticPr fontId="6" type="noConversion"/>
  </si>
  <si>
    <t>85678</t>
    <phoneticPr fontId="6" type="noConversion"/>
  </si>
  <si>
    <t>荣耀90GT</t>
    <phoneticPr fontId="6" type="noConversion"/>
  </si>
  <si>
    <t>95704</t>
    <phoneticPr fontId="6" type="noConversion"/>
  </si>
  <si>
    <t>84744</t>
    <phoneticPr fontId="6" type="noConversion"/>
  </si>
  <si>
    <t>iPhone12ProMax</t>
    <phoneticPr fontId="6" type="noConversion"/>
  </si>
  <si>
    <t>60415</t>
    <phoneticPr fontId="6" type="noConversion"/>
  </si>
  <si>
    <t>71887</t>
    <phoneticPr fontId="6" type="noConversion"/>
  </si>
  <si>
    <t>荣耀100Pro</t>
    <phoneticPr fontId="6" type="noConversion"/>
  </si>
  <si>
    <t>59916</t>
    <phoneticPr fontId="6" type="noConversion"/>
  </si>
  <si>
    <t>iPhone11</t>
    <phoneticPr fontId="6" type="noConversion"/>
  </si>
  <si>
    <t>82576</t>
    <phoneticPr fontId="6" type="noConversion"/>
  </si>
  <si>
    <t>类型</t>
  </si>
  <si>
    <t>名称</t>
    <phoneticPr fontId="2" type="noConversion"/>
  </si>
  <si>
    <t>数量</t>
    <phoneticPr fontId="2" type="noConversion"/>
  </si>
  <si>
    <t>成本单价</t>
    <phoneticPr fontId="5" type="noConversion"/>
  </si>
  <si>
    <t>成本总价</t>
    <phoneticPr fontId="5" type="noConversion"/>
  </si>
  <si>
    <t>售价</t>
    <phoneticPr fontId="5" type="noConversion"/>
  </si>
  <si>
    <t>全能款手机壳箱</t>
    <phoneticPr fontId="5" type="noConversion"/>
  </si>
  <si>
    <t>全能款手机壳箱(344个)</t>
    <phoneticPr fontId="5" type="noConversion"/>
  </si>
  <si>
    <t>积米直面膜箱</t>
    <phoneticPr fontId="5" type="noConversion"/>
  </si>
  <si>
    <t>金刚超级钢化膜(200 张膜箱)</t>
    <phoneticPr fontId="5" type="noConversion"/>
  </si>
  <si>
    <t>积米曲面膜箱</t>
    <phoneticPr fontId="5" type="noConversion"/>
  </si>
  <si>
    <t>曲面自修复光固膜(110张膜箱)</t>
    <phoneticPr fontId="5" type="noConversion"/>
  </si>
  <si>
    <t>3D超大弧边 380C钢化膜</t>
    <phoneticPr fontId="5" type="noConversion"/>
  </si>
  <si>
    <t>B01(iPhone14/13/13  Pro -6.1)</t>
    <phoneticPr fontId="5" type="noConversion"/>
  </si>
  <si>
    <t>B02(iPhone14 PLus/13 Pro Max -6.7)</t>
    <phoneticPr fontId="5" type="noConversion"/>
  </si>
  <si>
    <t>B03(iPhone14 Pro -6.1)</t>
    <phoneticPr fontId="5" type="noConversion"/>
  </si>
  <si>
    <t>B04(iPhone14 Pro Max -6.7)</t>
    <phoneticPr fontId="5" type="noConversion"/>
  </si>
  <si>
    <t>B05(iPhone15 -6.1(330厚胶)</t>
    <phoneticPr fontId="5" type="noConversion"/>
  </si>
  <si>
    <t>B07(iPhone15  Pro -6.1(330厚胶)</t>
    <phoneticPr fontId="5" type="noConversion"/>
  </si>
  <si>
    <t>B08(iPhone15  Pro Max -6.7(330厚胶)</t>
    <phoneticPr fontId="5" type="noConversion"/>
  </si>
  <si>
    <t>B09(iPhone16 Pro -6.3(380厚胶)</t>
    <phoneticPr fontId="5" type="noConversion"/>
  </si>
  <si>
    <t>B10(iPhone16 Pro Max-6.9(380厚胶)</t>
    <phoneticPr fontId="5" type="noConversion"/>
  </si>
  <si>
    <t>B11(iPhone17 Pro -6.3(380厚胶)</t>
    <phoneticPr fontId="5" type="noConversion"/>
  </si>
  <si>
    <t>B12(iPhone17 Pro Max -6.9(380厚胶)</t>
    <phoneticPr fontId="5" type="noConversion"/>
  </si>
  <si>
    <t>积米防窥系列</t>
    <phoneticPr fontId="5" type="noConversion"/>
  </si>
  <si>
    <t>曲面:免考自修复防窥膜((85 张膜箱)</t>
    <phoneticPr fontId="5" type="noConversion"/>
  </si>
  <si>
    <t>数据线</t>
    <phoneticPr fontId="5" type="noConversion"/>
  </si>
  <si>
    <t>C-L苹果 14 系列套装 防火阻燃</t>
    <phoneticPr fontId="5" type="noConversion"/>
  </si>
  <si>
    <t>C-C苹果15 系列套装 防火阻燃</t>
    <phoneticPr fontId="5" type="noConversion"/>
  </si>
  <si>
    <t>曲面:28°电镀防窥钢化膜(108张)(苹果+安卓)</t>
    <phoneticPr fontId="5" type="noConversion"/>
  </si>
  <si>
    <t>电镀光固免保压(105张膜箱)</t>
    <phoneticPr fontId="5" type="noConversion"/>
  </si>
  <si>
    <t>闪能数据线</t>
    <phoneticPr fontId="5" type="noConversion"/>
  </si>
  <si>
    <t>闪能 1 号线 120W A-C支持 15-17 系列数据传输</t>
    <phoneticPr fontId="5" type="noConversion"/>
  </si>
  <si>
    <t>闪能 2 号线 120W C-C支持 手机/平板/笔记本充电</t>
    <phoneticPr fontId="5" type="noConversion"/>
  </si>
  <si>
    <t>闪能 3 号线 PD 35W C-L防火阻燃数据线</t>
    <phoneticPr fontId="5" type="noConversion"/>
  </si>
  <si>
    <t>折叠屏系列</t>
    <phoneticPr fontId="5" type="noConversion"/>
  </si>
  <si>
    <t>折叠膜一套ZD01-ZD08.ZD10.ZD12</t>
    <phoneticPr fontId="5" type="noConversion"/>
  </si>
  <si>
    <t>单头</t>
    <phoneticPr fontId="5" type="noConversion"/>
  </si>
  <si>
    <t>氮化镓 20W足瓦 PD 单头</t>
    <phoneticPr fontId="5" type="noConversion"/>
  </si>
  <si>
    <t>纳米全胶膜膜箱</t>
    <phoneticPr fontId="5" type="noConversion"/>
  </si>
  <si>
    <t>纳米全胶膜膜箱(42张)</t>
    <phoneticPr fontId="5" type="noConversion"/>
  </si>
  <si>
    <t>20W套充</t>
    <phoneticPr fontId="5" type="noConversion"/>
  </si>
  <si>
    <t>新国标 20W 足瓦15/16/17 系列小白盒 C-C套装</t>
    <phoneticPr fontId="5" type="noConversion"/>
  </si>
  <si>
    <t>新国标 20W C-L 苹果 14 系列全套装</t>
    <phoneticPr fontId="5" type="noConversion"/>
  </si>
  <si>
    <t>甄选 AR 高清系列</t>
    <phoneticPr fontId="5" type="noConversion"/>
  </si>
  <si>
    <t>AR高清钢化膜17 Pro</t>
    <phoneticPr fontId="5" type="noConversion"/>
  </si>
  <si>
    <t>AR高清钢化膜17 Pro Max</t>
    <phoneticPr fontId="5" type="noConversion"/>
  </si>
  <si>
    <t>AR高清钢化膜 16/15</t>
    <phoneticPr fontId="5" type="noConversion"/>
  </si>
  <si>
    <t>AR高清钢化膜16 Pro/17</t>
    <phoneticPr fontId="5" type="noConversion"/>
  </si>
  <si>
    <t>AR高清钢化膜16 Pro Max</t>
    <phoneticPr fontId="5" type="noConversion"/>
  </si>
  <si>
    <t>AR高清钢化膜15/16 Plus</t>
    <phoneticPr fontId="5" type="noConversion"/>
  </si>
  <si>
    <t>AR高清钢化膜15 Pro</t>
    <phoneticPr fontId="5" type="noConversion"/>
  </si>
  <si>
    <t>AR高清钢化膜15 Pro Max</t>
    <phoneticPr fontId="5" type="noConversion"/>
  </si>
  <si>
    <t>甄选 AG磨砂系列</t>
  </si>
  <si>
    <t>AG 电竞磨砂钢化膜17 Pro</t>
  </si>
  <si>
    <t>AG 电竞磨砂钢化膜17 Pro Max</t>
  </si>
  <si>
    <t>AG 电竞磨砂钢化膜 16/15</t>
  </si>
  <si>
    <t>AG 电竞磨砂钢化膜16 Pro/17</t>
  </si>
  <si>
    <t>AG 电竞磨砂钢化膜16 Pro Max</t>
  </si>
  <si>
    <t>AG 电竞磨砂钢化膜15/16 Plus</t>
  </si>
  <si>
    <t>AG 电竞磨砂钢化膜15 Pro</t>
  </si>
  <si>
    <t>AG 电竞磨砂钢化膜15 Pro Max</t>
  </si>
  <si>
    <t>AR 锐影高清镜头膜箱</t>
    <phoneticPr fontId="5" type="noConversion"/>
  </si>
  <si>
    <t>AR 锐影高清镜头膜箱(苹果+安卓)(26个)</t>
    <phoneticPr fontId="5" type="noConversion"/>
  </si>
  <si>
    <t>平板膜系列</t>
    <phoneticPr fontId="5" type="noConversion"/>
  </si>
  <si>
    <t>平板膜箱(26 张)</t>
    <phoneticPr fontId="5" type="noConversion"/>
  </si>
  <si>
    <t>甄选 360 防窥系列</t>
  </si>
  <si>
    <t>360°高清防窥膜17 Pro</t>
  </si>
  <si>
    <t>360°高清防窥膜17 Pro Max</t>
  </si>
  <si>
    <t>360°高清防窥膜 16/15</t>
  </si>
  <si>
    <t>360°高清防窥膜16 Pro/17</t>
  </si>
  <si>
    <t>360°高清防窥膜16 Pro Max</t>
  </si>
  <si>
    <t>360°高清防窥膜15/16 Plus</t>
  </si>
  <si>
    <t>360°高清防窥膜15 Pro</t>
  </si>
  <si>
    <t>360°高清防窥膜15 Pro Max</t>
  </si>
  <si>
    <t>全兼容套充</t>
    <phoneticPr fontId="5" type="noConversion"/>
  </si>
  <si>
    <t>A02-T 120W USB-C 全兼容 全协议 氮化镓充电器</t>
    <phoneticPr fontId="5" type="noConversion"/>
  </si>
  <si>
    <t>折叠膜一套ZD09</t>
    <phoneticPr fontId="5" type="noConversion"/>
  </si>
  <si>
    <t>全胶膜系列</t>
    <phoneticPr fontId="5" type="noConversion"/>
  </si>
  <si>
    <t>Q01-Q10一套(10 个型号各两张)</t>
    <phoneticPr fontId="5" type="noConversion"/>
  </si>
  <si>
    <t>A03-T 200W USB-C 全兼容 全协议 氮化镓充电器</t>
    <phoneticPr fontId="5" type="noConversion"/>
  </si>
  <si>
    <t>A05-T 200W C-C双口 全兼容 全协议 氮化镓充电器</t>
    <phoneticPr fontId="5" type="noConversion"/>
  </si>
  <si>
    <t>全胶防窥 QF01-QF05(5个型号各 2 张)</t>
    <phoneticPr fontId="5" type="noConversion"/>
  </si>
  <si>
    <t>A04-T 240W A+C双口 全兼容 全协议 氮化镓充电器</t>
    <phoneticPr fontId="5" type="noConversion"/>
  </si>
  <si>
    <t>明细</t>
    <phoneticPr fontId="2" type="noConversion"/>
  </si>
  <si>
    <t>房租+押金</t>
    <phoneticPr fontId="2" type="noConversion"/>
  </si>
  <si>
    <t>水费</t>
    <phoneticPr fontId="2" type="noConversion"/>
  </si>
  <si>
    <t>装修定金</t>
    <phoneticPr fontId="2" type="noConversion"/>
  </si>
  <si>
    <t>展示柜+配件</t>
    <phoneticPr fontId="2" type="noConversion"/>
  </si>
  <si>
    <t>装修尾款</t>
    <phoneticPr fontId="2" type="noConversion"/>
  </si>
  <si>
    <t>玻璃柜台</t>
    <phoneticPr fontId="2" type="noConversion"/>
  </si>
  <si>
    <t>空调</t>
    <phoneticPr fontId="2" type="noConversion"/>
  </si>
  <si>
    <t>监控</t>
    <phoneticPr fontId="2" type="noConversion"/>
  </si>
  <si>
    <t>广告</t>
    <phoneticPr fontId="2" type="noConversion"/>
  </si>
  <si>
    <t>柜台快递费</t>
    <phoneticPr fontId="2" type="noConversion"/>
  </si>
  <si>
    <t>插排</t>
    <phoneticPr fontId="2" type="noConversion"/>
  </si>
  <si>
    <t>板凳</t>
    <phoneticPr fontId="2" type="noConversion"/>
  </si>
  <si>
    <t>高德</t>
    <phoneticPr fontId="2" type="noConversion"/>
  </si>
  <si>
    <t>广告物料</t>
    <phoneticPr fontId="2" type="noConversion"/>
  </si>
  <si>
    <t>宽带+办卡</t>
    <phoneticPr fontId="2" type="noConversion"/>
  </si>
  <si>
    <t>充电宝</t>
    <phoneticPr fontId="2" type="noConversion"/>
  </si>
  <si>
    <t>收款码</t>
    <phoneticPr fontId="2" type="noConversion"/>
  </si>
  <si>
    <t>柜台布</t>
    <phoneticPr fontId="2" type="noConversion"/>
  </si>
  <si>
    <t>挂牌</t>
    <phoneticPr fontId="2" type="noConversion"/>
  </si>
  <si>
    <t>热水壶</t>
    <phoneticPr fontId="2" type="noConversion"/>
  </si>
  <si>
    <t>路由器</t>
    <phoneticPr fontId="2" type="noConversion"/>
  </si>
  <si>
    <t>椅子</t>
    <phoneticPr fontId="2" type="noConversion"/>
  </si>
  <si>
    <t>门帘</t>
    <phoneticPr fontId="2" type="noConversion"/>
  </si>
  <si>
    <t>人均</t>
    <phoneticPr fontId="2" type="noConversion"/>
  </si>
  <si>
    <t>还钱</t>
    <phoneticPr fontId="2" type="noConversion"/>
  </si>
  <si>
    <t>淠河路</t>
    <phoneticPr fontId="6" type="noConversion"/>
  </si>
  <si>
    <t>单月费用</t>
    <phoneticPr fontId="6" type="noConversion"/>
  </si>
  <si>
    <t>月份</t>
    <phoneticPr fontId="6" type="noConversion"/>
  </si>
  <si>
    <t>累计</t>
    <phoneticPr fontId="6" type="noConversion"/>
  </si>
  <si>
    <t>预计成本</t>
    <phoneticPr fontId="6" type="noConversion"/>
  </si>
  <si>
    <t>月均保本指标</t>
    <phoneticPr fontId="6" type="noConversion"/>
  </si>
  <si>
    <t>日均保本指标</t>
    <phoneticPr fontId="6" type="noConversion"/>
  </si>
  <si>
    <t>转让费</t>
    <phoneticPr fontId="6" type="noConversion"/>
  </si>
  <si>
    <t>房租</t>
    <phoneticPr fontId="6" type="noConversion"/>
  </si>
  <si>
    <t>人工</t>
    <phoneticPr fontId="6" type="noConversion"/>
  </si>
  <si>
    <t>车子</t>
    <phoneticPr fontId="6" type="noConversion"/>
  </si>
  <si>
    <t>国购</t>
    <phoneticPr fontId="6" type="noConversion"/>
  </si>
  <si>
    <t>西园路</t>
    <phoneticPr fontId="6" type="noConversion"/>
  </si>
  <si>
    <t>小米11 ultra</t>
  </si>
  <si>
    <t>极佳</t>
  </si>
  <si>
    <t>8+256G</t>
  </si>
  <si>
    <t>白色</t>
  </si>
  <si>
    <t>边框正常磨损划痕 屏幕有划痕 原装无拆修</t>
  </si>
  <si>
    <t>华为Mate 60RS 非凡大师</t>
  </si>
  <si>
    <t>16+512G</t>
  </si>
  <si>
    <t>黑色</t>
  </si>
  <si>
    <t>边框有明显磕碰如图 屏幕新 原装无拆修，功能完好</t>
  </si>
  <si>
    <t>iPhone 16 Pro</t>
  </si>
  <si>
    <t>256G</t>
  </si>
  <si>
    <t>成色九九新 原装无拆修 保修到2026年4月 喇叭上面一点瑕疵</t>
  </si>
  <si>
    <t>iPhone 14 Pro</t>
  </si>
  <si>
    <t>边框有磕碰如图 屏幕有划痕 原装无拆无修</t>
  </si>
  <si>
    <t>iPhone 14 Pro Max</t>
  </si>
  <si>
    <t>边框如图一点磕碰 无气密，屏幕右上方一道细微划痕，贴膜可无视</t>
  </si>
  <si>
    <t>iPad Pro 11英寸第四代</t>
  </si>
  <si>
    <t>银色</t>
  </si>
  <si>
    <t>边框九九新 外屏碎，不影响使用 原装无拆修</t>
  </si>
  <si>
    <t>iPhone 14</t>
  </si>
  <si>
    <t>边框有磕碰和掉漆如图 原装无拆修</t>
  </si>
  <si>
    <t>iPhone 15 Pro</t>
  </si>
  <si>
    <t>原色</t>
  </si>
  <si>
    <t>成色九九新 无磕碰划痕 原装无拆修 音量加键 有一点掉漆瑕疵</t>
  </si>
  <si>
    <t>iPhone 17</t>
  </si>
  <si>
    <t>紫色</t>
  </si>
  <si>
    <t>充电187次 边框有轻微磕碰如图 屏幕新 原装无拆修 保修到2026年10月</t>
  </si>
  <si>
    <t>iPhone 16 Pro Max</t>
  </si>
  <si>
    <t>边框有轻微磕碰如图，屏幕有划痕</t>
  </si>
  <si>
    <t>iPhone 13</t>
  </si>
  <si>
    <t>边框有一处磕碰如图 原装无拆修</t>
  </si>
  <si>
    <t>128G</t>
  </si>
  <si>
    <t>绿色</t>
  </si>
  <si>
    <t>边框有磕碰如图 屏幕有划痕 原装无拆修</t>
  </si>
  <si>
    <t>边框有一处磕碰和轻微磨损如图 屏幕有细微划痕贴膜可盖 原装无拆修</t>
  </si>
  <si>
    <t>iPhone X</t>
  </si>
  <si>
    <t>换过电芯 边框无明显磕碰如图</t>
  </si>
  <si>
    <t>华为Mate 60</t>
  </si>
  <si>
    <t>12+512G</t>
  </si>
  <si>
    <t>雅川青</t>
  </si>
  <si>
    <t>边框一点点瑕疵如图 原装无拆修 指纹坏</t>
  </si>
  <si>
    <t>荣耀90GT</t>
  </si>
  <si>
    <t>12+256G</t>
  </si>
  <si>
    <t>边框正常带壳磨损掉漆 原装无拆修</t>
  </si>
  <si>
    <t>苹果16pro</t>
  </si>
  <si>
    <t>外观成色99新 原装无拆修</t>
  </si>
  <si>
    <t>华为P70</t>
  </si>
  <si>
    <t>冰晶蓝</t>
  </si>
  <si>
    <t>成色九九新 原装无拆修，功能完好</t>
  </si>
  <si>
    <t>佳能M5套机</t>
  </si>
  <si>
    <t>成色99新</t>
  </si>
  <si>
    <t>15-45镜头</t>
  </si>
  <si>
    <t>没什么使用痕迹 配件齐全</t>
  </si>
  <si>
    <t>华为mate70Pro</t>
  </si>
  <si>
    <t>边框有轻微磕碰如图 屏幕新 原装无拆修 保修到2026年8月17号</t>
  </si>
  <si>
    <t>iPhone 12</t>
  </si>
  <si>
    <t>边框一点细微瑕疵如图 屏幕新 原装无拆修</t>
  </si>
  <si>
    <t>华为mate50E</t>
  </si>
  <si>
    <t>充电口有一点点掉漆 原装无拆修，其他功能完好</t>
  </si>
  <si>
    <t>iPhone13Pro</t>
  </si>
  <si>
    <t>蓝色</t>
  </si>
  <si>
    <t>成色九九新 爱思 电池摄像头全红 后人像3倍卡顿</t>
  </si>
  <si>
    <t>华为Mate60RS 非凡大师</t>
  </si>
  <si>
    <t>16+1TB</t>
  </si>
  <si>
    <t>边框有磕碰如图 屏幕有划痕，原装无拆修，功能完好 明显划痕</t>
  </si>
  <si>
    <t>边框有轻微掉漆磕碰如图 原装无拆修，功能完好</t>
  </si>
  <si>
    <t>xsmax256g金色</t>
  </si>
  <si>
    <t>仅换过电池</t>
  </si>
  <si>
    <t>金色</t>
  </si>
  <si>
    <t>其他没有换过 橙色九八新 后盖有带壳痕迹</t>
  </si>
  <si>
    <t>成色九七新 边框有细微磕碰如图 屏幕有轻微划痕 原装无拆修</t>
  </si>
  <si>
    <t>华为P70Ultra</t>
  </si>
  <si>
    <t>边框有磕碰如图 屏幕新 原装无拆修功能完好</t>
  </si>
  <si>
    <t>成色九九新 边框有一处小小瑕疵如图 屏幕新 原装无拆修功能完好</t>
  </si>
  <si>
    <t>iPhone 11</t>
  </si>
  <si>
    <t>换过电池 边框正常使用痕迹 屏幕有划痕</t>
  </si>
  <si>
    <t>华为mate 50</t>
  </si>
  <si>
    <t>边框有轻微使用痕迹 屏幕新但有烧屏 其他功能完好，原装无拆修</t>
  </si>
  <si>
    <t>iPhone12</t>
  </si>
  <si>
    <t>换过第三方电池 边框有轻微磕碰 屏幕有划痕</t>
  </si>
  <si>
    <t>华为mate50Pro</t>
  </si>
  <si>
    <t>8+512G</t>
  </si>
  <si>
    <t>边框有磕碰 屏幕有烧屏 原装无拆修</t>
  </si>
  <si>
    <t>华为P40 5G版</t>
  </si>
  <si>
    <t>边框正常使用痕迹 功能完好</t>
  </si>
  <si>
    <t>边框有轻微掉漆 屏幕有细微划痕 贴膜可盖 原装无拆修 功能完好</t>
  </si>
  <si>
    <t>iPhone 13 Pro</t>
  </si>
  <si>
    <t>换过第三方电池</t>
  </si>
  <si>
    <t>成色九八新 功能完好</t>
  </si>
  <si>
    <t>边框有轻微磕碰瑕疵如图 屏幕有细微划痕，原装无拆修功能完好 有气密</t>
  </si>
  <si>
    <t>边框有磕碰如图 原装无拆修功能完好</t>
  </si>
  <si>
    <t>边框有磕碰掉漆如图 功能完好，原装无拆修</t>
  </si>
  <si>
    <t>华为mate40Pro</t>
  </si>
  <si>
    <t>边框有磕碰 功能完好</t>
  </si>
  <si>
    <t>iPhone 12 Pro Max</t>
  </si>
  <si>
    <t>换的第三方电池 成色九八新 功能完好</t>
  </si>
  <si>
    <t>512G</t>
  </si>
  <si>
    <t>边框有轻微磕碰如图 屏幕有划痕，原装无拆修，功能完好</t>
  </si>
  <si>
    <t>荣耀90</t>
  </si>
  <si>
    <t>边框有磕碰如图</t>
  </si>
  <si>
    <t>16+256G</t>
  </si>
  <si>
    <t>原装无拆修功能完好</t>
  </si>
  <si>
    <t>iPhone 12promax</t>
  </si>
  <si>
    <t>外观99新</t>
  </si>
  <si>
    <t>功能完好</t>
  </si>
  <si>
    <t>设计规范</t>
    <phoneticPr fontId="2" type="noConversion"/>
  </si>
  <si>
    <t>第一步</t>
    <phoneticPr fontId="2" type="noConversion"/>
  </si>
  <si>
    <t>我将给你两个表格中的所有数据，你对比一下哪几个地方是除了时间一模一样的，以下是表A的数据：“A”，以下是表B的数据：“B”，输出一样的地方，然后合并并去重生成表C</t>
    <phoneticPr fontId="2" type="noConversion"/>
  </si>
  <si>
    <t>投喂数据标准以及具体步骤</t>
    <phoneticPr fontId="2" type="noConversion"/>
  </si>
  <si>
    <t>第二步</t>
    <phoneticPr fontId="2" type="noConversion"/>
  </si>
  <si>
    <t>我接下来把表C的表头发给你，然后你把表D改成这种格式，以下是表C的表头：“名称	电池	内存	颜色	序列号	成本	售价	手续费	预计利润	备注	时间
”，以下为表D的内容："D",将序列号中不满五位数的第一位用0补齐然后，如4678补齐为04678。5628补齐为05628。是补齐首位不是末位</t>
    <phoneticPr fontId="2" type="noConversion"/>
  </si>
  <si>
    <t>第三步</t>
    <phoneticPr fontId="2" type="noConversion"/>
  </si>
  <si>
    <t>将手续费以及预计利润清空，删除售价低于600的所有设备，以及“电池容量”这4个字删除,然后保存这个输出内容为"demo.xlsx"</t>
    <phoneticPr fontId="2" type="noConversion"/>
  </si>
  <si>
    <t>“名称 电池 内存 颜色 序列号 成本 售价 手续费 预计利润 备注 时间”；其中名称宽度为25.00，电池宽度为15.00；备注宽度为80.00，其余字段宽度均为12.00，所有行的高度统一为22.50</t>
    <phoneticPr fontId="2" type="noConversion"/>
  </si>
  <si>
    <t>尺寸规格</t>
    <phoneticPr fontId="2" type="noConversion"/>
  </si>
  <si>
    <t>笔记本：ROG幻16Ari</t>
    <phoneticPr fontId="2" type="noConversion"/>
  </si>
  <si>
    <t>支出：3023</t>
    <phoneticPr fontId="2" type="noConversion"/>
  </si>
  <si>
    <t>支出：软膜</t>
    <phoneticPr fontId="2" type="noConversion"/>
  </si>
  <si>
    <t>手表：Apple Watch  Se2</t>
    <phoneticPr fontId="2" type="noConversion"/>
  </si>
  <si>
    <t>平板：iPad Ari2</t>
    <phoneticPr fontId="2" type="noConversion"/>
  </si>
  <si>
    <t>iPhone13Pro</t>
    <phoneticPr fontId="6" type="noConversion"/>
  </si>
  <si>
    <t>74263</t>
    <phoneticPr fontId="6" type="noConversion"/>
  </si>
  <si>
    <t>华为MatePad</t>
    <phoneticPr fontId="6" type="noConversion"/>
  </si>
  <si>
    <t>手机：华为Mate10</t>
    <phoneticPr fontId="2" type="noConversion"/>
  </si>
  <si>
    <t>手机：荣耀Magic6Pro（闲鱼）</t>
    <phoneticPr fontId="2" type="noConversion"/>
  </si>
  <si>
    <t>小米14</t>
    <phoneticPr fontId="6" type="noConversion"/>
  </si>
  <si>
    <t>26943</t>
    <phoneticPr fontId="6" type="noConversion"/>
  </si>
  <si>
    <t>华为P40</t>
    <phoneticPr fontId="6" type="noConversion"/>
  </si>
  <si>
    <t>83878</t>
    <phoneticPr fontId="6" type="noConversion"/>
  </si>
  <si>
    <t>支出：挂钩</t>
    <phoneticPr fontId="2" type="noConversion"/>
  </si>
  <si>
    <t>58445</t>
    <phoneticPr fontId="6" type="noConversion"/>
  </si>
  <si>
    <t>手机：华为PuraXMax(全新）</t>
    <phoneticPr fontId="2" type="noConversion"/>
  </si>
  <si>
    <t>76521</t>
    <phoneticPr fontId="6" type="noConversion"/>
  </si>
  <si>
    <t>手机：红米Note15Pro+（闲鱼）</t>
    <phoneticPr fontId="2" type="noConversion"/>
  </si>
  <si>
    <t>手机：华为PuraX（全新）</t>
    <phoneticPr fontId="2" type="noConversion"/>
  </si>
  <si>
    <t>iPhoneXR</t>
    <phoneticPr fontId="6" type="noConversion"/>
  </si>
  <si>
    <t>56620</t>
    <phoneticPr fontId="6" type="noConversion"/>
  </si>
  <si>
    <t>手机：iPhone17</t>
    <phoneticPr fontId="2" type="noConversion"/>
  </si>
  <si>
    <t>手机：iPhone13（闲鱼）</t>
    <phoneticPr fontId="2" type="noConversion"/>
  </si>
  <si>
    <t>手机：iPhone15Plus</t>
    <phoneticPr fontId="2" type="noConversion"/>
  </si>
  <si>
    <t>手机：iPhone17(全新)</t>
    <phoneticPr fontId="2" type="noConversion"/>
  </si>
  <si>
    <t>耳机：AriPodsPro3(闲鱼）</t>
    <phoneticPr fontId="2" type="noConversion"/>
  </si>
  <si>
    <t>iPhone16Pro</t>
    <phoneticPr fontId="6" type="noConversion"/>
  </si>
  <si>
    <t>44105</t>
    <phoneticPr fontId="6" type="noConversion"/>
  </si>
  <si>
    <t>小米10</t>
    <phoneticPr fontId="6" type="noConversion"/>
  </si>
  <si>
    <t>97094</t>
    <phoneticPr fontId="6" type="noConversion"/>
  </si>
  <si>
    <t>82574</t>
    <phoneticPr fontId="6" type="noConversion"/>
  </si>
  <si>
    <t>荣耀MagicV2</t>
    <phoneticPr fontId="6" type="noConversion"/>
  </si>
  <si>
    <t>99781</t>
    <phoneticPr fontId="6" type="noConversion"/>
  </si>
  <si>
    <t>红米K80</t>
    <phoneticPr fontId="6" type="noConversion"/>
  </si>
  <si>
    <t>40388</t>
    <phoneticPr fontId="6" type="noConversion"/>
  </si>
  <si>
    <t>维修：iPhone15尾插</t>
    <phoneticPr fontId="2" type="noConversion"/>
  </si>
  <si>
    <t>一加Turbo6 V</t>
    <phoneticPr fontId="6" type="noConversion"/>
  </si>
  <si>
    <t>79995</t>
    <phoneticPr fontId="6" type="noConversion"/>
  </si>
  <si>
    <t>02749</t>
    <phoneticPr fontId="6" type="noConversion"/>
  </si>
  <si>
    <t>支出：电扇+蚊香液</t>
    <phoneticPr fontId="2" type="noConversion"/>
  </si>
  <si>
    <t>02458</t>
    <phoneticPr fontId="6" type="noConversion"/>
  </si>
  <si>
    <t>荣耀60</t>
    <phoneticPr fontId="6" type="noConversion"/>
  </si>
  <si>
    <t>58883</t>
    <phoneticPr fontId="6" type="noConversion"/>
  </si>
  <si>
    <t>iPhone13ProMax</t>
    <phoneticPr fontId="6" type="noConversion"/>
  </si>
  <si>
    <t>54537</t>
    <phoneticPr fontId="6" type="noConversion"/>
  </si>
  <si>
    <t>iPhone12Pro</t>
    <phoneticPr fontId="6" type="noConversion"/>
  </si>
  <si>
    <t>65046</t>
    <phoneticPr fontId="6" type="noConversion"/>
  </si>
  <si>
    <t>12207</t>
    <phoneticPr fontId="6" type="noConversion"/>
  </si>
  <si>
    <t>iPhoneSe2</t>
    <phoneticPr fontId="6" type="noConversion"/>
  </si>
  <si>
    <t>手机：iPhone13(闲鱼）</t>
    <phoneticPr fontId="2" type="noConversion"/>
  </si>
  <si>
    <t>未结清</t>
    <phoneticPr fontId="2" type="noConversion"/>
  </si>
  <si>
    <t>OPPOFindX8s+</t>
    <phoneticPr fontId="6" type="noConversion"/>
  </si>
  <si>
    <t>03574</t>
    <phoneticPr fontId="6" type="noConversion"/>
  </si>
  <si>
    <t>粉色</t>
    <phoneticPr fontId="6" type="noConversion"/>
  </si>
  <si>
    <t>iPhone15Plus</t>
    <phoneticPr fontId="6" type="noConversion"/>
  </si>
  <si>
    <t>06353</t>
    <phoneticPr fontId="6" type="noConversion"/>
  </si>
  <si>
    <t>iPhone17</t>
    <phoneticPr fontId="6" type="noConversion"/>
  </si>
  <si>
    <t>30990</t>
    <phoneticPr fontId="6" type="noConversion"/>
  </si>
  <si>
    <t>39753</t>
    <phoneticPr fontId="6" type="noConversion"/>
  </si>
  <si>
    <t>67691</t>
    <phoneticPr fontId="6" type="noConversion"/>
  </si>
  <si>
    <t>83795</t>
    <phoneticPr fontId="6" type="noConversion"/>
  </si>
  <si>
    <t>96102</t>
    <phoneticPr fontId="6" type="noConversion"/>
  </si>
  <si>
    <t>55954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</si>
</sst>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.00_);\(&quot;¥&quot;#,##0.00\)"/>
    <numFmt numFmtId="177" formatCode="&quot;¥&quot;#,##0.00"/>
    <numFmt numFmtId="178" formatCode="&quot;¥&quot;#,##0.00;[Red]&quot;¥&quot;#,##0.00"/>
    <numFmt numFmtId="179" formatCode="yyyy&quot;年&quot;m&quot;月&quot;d&quot;日&quot;;@"/>
    <numFmt numFmtId="180" formatCode="yyyy/m/d;@"/>
    <numFmt numFmtId="181" formatCode="General&quot;天&quot;"/>
    <numFmt numFmtId="182" formatCode="[$-F800]dddd\,\ mmmm\ dd\,\ yyyy"/>
  </numFmts>
  <fonts count="29">
    <font>
      <sz val="12"/>
      <name val="宋体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2"/>
      <name val="楷体"/>
      <family val="3"/>
      <charset val="134"/>
    </font>
    <font>
      <b/>
      <sz val="12"/>
      <color theme="1"/>
      <name val="楷体"/>
      <family val="3"/>
      <charset val="134"/>
    </font>
    <font>
      <sz val="12"/>
      <name val="楷体"/>
      <family val="3"/>
      <charset val="134"/>
    </font>
    <font>
      <b/>
      <sz val="12"/>
      <color theme="0"/>
      <name val="楷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24"/>
      <name val="宋体"/>
      <family val="3"/>
      <charset val="134"/>
    </font>
    <font>
      <b/>
      <sz val="16"/>
      <color rgb="FFFFFF00"/>
      <name val="楷体"/>
      <family val="3"/>
      <charset val="134"/>
    </font>
    <font>
      <b/>
      <sz val="22"/>
      <name val="宋体"/>
      <family val="3"/>
      <charset val="134"/>
    </font>
    <font>
      <b/>
      <sz val="12"/>
      <color rgb="FF1B1C21"/>
      <name val="Segoe UI"/>
      <family val="2"/>
    </font>
    <font>
      <b/>
      <sz val="12"/>
      <color rgb="FF1B1C21"/>
      <name val="宋体"/>
      <family val="2"/>
      <charset val="134"/>
    </font>
    <font>
      <b/>
      <sz val="22"/>
      <color theme="2" tint="-0.749992370372631"/>
      <name val="宋体"/>
      <family val="3"/>
      <charset val="134"/>
    </font>
    <font>
      <b/>
      <sz val="20"/>
      <color theme="2" tint="-0.749992370372631"/>
      <name val="宋体"/>
      <family val="3"/>
      <charset val="134"/>
    </font>
    <font>
      <b/>
      <sz val="14"/>
      <color theme="2" tint="-0.749992370372631"/>
      <name val="宋体"/>
      <family val="3"/>
      <charset val="134"/>
    </font>
    <font>
      <sz val="12"/>
      <color rgb="FF1B1C21"/>
      <name val="Segoe UI"/>
      <family val="2"/>
    </font>
    <font>
      <b/>
      <sz val="16"/>
      <color theme="2" tint="-0.749992370372631"/>
      <name val="宋体"/>
      <family val="3"/>
      <charset val="134"/>
    </font>
    <font>
      <b/>
      <sz val="12"/>
      <color rgb="FF1B1C21"/>
      <name val="微软雅黑"/>
      <family val="2"/>
      <charset val="134"/>
    </font>
    <font>
      <b/>
      <sz val="12"/>
      <color rgb="FF1B1C21"/>
      <name val="等线"/>
      <family val="2"/>
      <charset val="134"/>
    </font>
    <font>
      <b/>
      <sz val="12"/>
      <color rgb="FF1B1C21"/>
      <name val="Segoe UI"/>
      <family val="2"/>
      <charset val="134"/>
    </font>
    <font>
      <b/>
      <sz val="12"/>
      <color rgb="FFFF0000"/>
      <name val="楷体"/>
      <family val="3"/>
      <charset val="134"/>
    </font>
    <font>
      <sz val="12"/>
      <color rgb="FF333333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179" fontId="1" fillId="0" borderId="0" xfId="0" applyNumberFormat="1" applyFont="1">
      <alignment vertical="center"/>
    </xf>
    <xf numFmtId="176" fontId="7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9" fontId="12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8" fontId="12" fillId="0" borderId="8" xfId="0" applyNumberFormat="1" applyFont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178" fontId="17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10" fontId="10" fillId="2" borderId="9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/>
    </xf>
    <xf numFmtId="178" fontId="10" fillId="2" borderId="9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82" fontId="16" fillId="0" borderId="1" xfId="0" applyNumberFormat="1" applyFont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178" fontId="12" fillId="0" borderId="7" xfId="0" applyNumberFormat="1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</cellXfs>
  <cellStyles count="1">
    <cellStyle name="常规" xfId="0" builtinId="0"/>
  </cellStyles>
  <dxfs count="12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81" formatCode="General&quot;天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宋体"/>
        <family val="2"/>
        <charset val="134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7" formatCode="&quot;¥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7" formatCode="&quot;¥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7" formatCode="&quot;¥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8" formatCode="&quot;¥&quot;#,##0.00;[Red]&quot;¥&quot;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78" formatCode="&quot;¥&quot;#,##0.00;[Red]&quot;¥&quot;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78" formatCode="&quot;¥&quot;#,##0.00;[Red]&quot;¥&quot;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80" formatCode="yyyy/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D43" totalsRowCount="1" headerRowDxfId="119" dataDxfId="118" totalsRowDxfId="117">
  <autoFilter ref="A1:D42" xr:uid="{00000000-0009-0000-0100-000001000000}"/>
  <sortState xmlns:xlrd2="http://schemas.microsoft.com/office/spreadsheetml/2017/richdata2" ref="A2:D2">
    <sortCondition ref="C1"/>
  </sortState>
  <tableColumns count="4">
    <tableColumn id="1" xr3:uid="{00000000-0010-0000-0000-000001000000}" name="名称" totalsRowLabel="汇总" dataDxfId="116" totalsRowDxfId="115"/>
    <tableColumn id="2" xr3:uid="{00000000-0010-0000-0000-000002000000}" name="数量" totalsRowFunction="sum" dataDxfId="114" totalsRowDxfId="113"/>
    <tableColumn id="3" xr3:uid="{00000000-0010-0000-0000-000003000000}" name="单价" totalsRowFunction="average" dataDxfId="112" totalsRowDxfId="111"/>
    <tableColumn id="4" xr3:uid="{00000000-0010-0000-0000-000004000000}" name="成本" totalsRowFunction="sum" dataDxfId="110" totalsRowDxfId="10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D8EF8-B219-4C3F-979D-14DC2E3F5E10}" name="表2" displayName="表2" ref="A1:F299" totalsRowCount="1" headerRowDxfId="128" dataDxfId="127" totalsRowDxfId="126">
  <autoFilter ref="A1:F298" xr:uid="{E85D8EF8-B219-4C3F-979D-14DC2E3F5E10}"/>
  <sortState xmlns:xlrd2="http://schemas.microsoft.com/office/spreadsheetml/2017/richdata2" ref="A2:F270">
    <sortCondition ref="E1:E270"/>
  </sortState>
  <tableColumns count="6">
    <tableColumn id="2" xr3:uid="{0EBD3613-32D2-48D8-9BD0-4CF2FAE208C0}" name="项目" totalsRowLabel="总计" dataDxfId="125" totalsRowDxfId="5"/>
    <tableColumn id="3" xr3:uid="{BFD07879-BFA0-4652-8153-F7C398BC1578}" name="金额" totalsRowFunction="sum" dataDxfId="124" totalsRowDxfId="4"/>
    <tableColumn id="6" xr3:uid="{EE0B3AB2-80DD-47F2-B416-27C0F5F23343}" name="成本" totalsRowFunction="sum" dataDxfId="123" totalsRowDxfId="3"/>
    <tableColumn id="7" xr3:uid="{3F0515CF-F398-4B7D-97C8-A9785E978F42}" name="纯利" totalsRowFunction="sum" dataDxfId="122" totalsRowDxfId="2">
      <calculatedColumnFormula>表2[[#This Row],[金额]]-表2[[#This Row],[成本]]</calculatedColumnFormula>
    </tableColumn>
    <tableColumn id="5" xr3:uid="{C161672D-D680-41D2-B325-3A454F0A93E1}" name="日期" totalsRowFunction="custom" dataDxfId="121" totalsRowDxfId="1">
      <totalsRowFormula>TODAY()-E2+1</totalsRowFormula>
    </tableColumn>
    <tableColumn id="1" xr3:uid="{62E6223D-8ECA-4315-9293-200A4BF30E9B}" name="收机备注" totalsRowFunction="count" dataDxfId="120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7FDC8-F3E9-47D9-AF19-E9E7DEAF8F15}" name="表3" displayName="表3" ref="A3:L34" totalsRowCount="1" headerRowDxfId="108" dataDxfId="107" totalsRowDxfId="106">
  <autoFilter ref="A3:L33" xr:uid="{0D37FDC8-F3E9-47D9-AF19-E9E7DEAF8F15}"/>
  <sortState xmlns:xlrd2="http://schemas.microsoft.com/office/spreadsheetml/2017/richdata2" ref="A4:L33">
    <sortCondition ref="L3:L33"/>
  </sortState>
  <tableColumns count="12">
    <tableColumn id="1" xr3:uid="{D99E9505-A722-4B2C-AACE-74448D7C427A}" name="名称" totalsRowLabel="汇总" dataDxfId="105" totalsRowDxfId="104"/>
    <tableColumn id="6" xr3:uid="{2FF2DDD4-A7D3-4B5A-A6A5-840269F2E429}" name="电池" totalsRowFunction="custom" dataDxfId="103" totalsRowDxfId="102">
      <totalsRowFormula>SUBTOTAL(103,表3[名称])</totalsRowFormula>
    </tableColumn>
    <tableColumn id="7" xr3:uid="{F51CCD57-FB66-4208-9C46-969A105B2DED}" name="内存" dataDxfId="101" totalsRowDxfId="100"/>
    <tableColumn id="10" xr3:uid="{B453DC3A-B318-404A-BBB0-A56926E61F2E}" name="颜色" dataDxfId="99" totalsRowDxfId="98"/>
    <tableColumn id="5" xr3:uid="{7ABFA607-F11B-45A0-A21E-AED765D7DCA1}" name="序列号" dataDxfId="97" totalsRowDxfId="96"/>
    <tableColumn id="2" xr3:uid="{C6F01D17-66B3-4247-ABBD-AACBA2AEA5B6}" name="成本" totalsRowFunction="sum" dataDxfId="95" totalsRowDxfId="94"/>
    <tableColumn id="3" xr3:uid="{C6AA111F-0146-4D65-B733-D67F3C076E64}" name="售价" totalsRowFunction="sum" dataDxfId="93" totalsRowDxfId="92"/>
    <tableColumn id="13" xr3:uid="{6D512B3C-B144-4EA1-B47D-073CCE78D8A6}" name="手续费" totalsRowFunction="sum" dataDxfId="91" totalsRowDxfId="90">
      <calculatedColumnFormula>表3[[#This Row],[售价]]*1.6%</calculatedColumnFormula>
    </tableColumn>
    <tableColumn id="11" xr3:uid="{9AD2E2F2-8185-4A6B-B8F1-C9F6CC9B6160}" name="实际到手" totalsRowFunction="sum" dataDxfId="89" totalsRowDxfId="88">
      <calculatedColumnFormula>表3[[#This Row],[售价]]-表3[[#This Row],[手续费]]</calculatedColumnFormula>
    </tableColumn>
    <tableColumn id="8" xr3:uid="{E1CDFBBD-D38C-4A29-9F92-E2313F82D4E6}" name="预计利润" totalsRowFunction="sum" dataDxfId="87" totalsRowDxfId="86">
      <calculatedColumnFormula>表3[[#This Row],[售价]]-表3[[#This Row],[成本]]-表3[[#This Row],[手续费]]</calculatedColumnFormula>
    </tableColumn>
    <tableColumn id="12" xr3:uid="{D22DE59A-CC83-4E0F-94D3-5BC3A3986797}" name="备注" totalsRowFunction="sum" dataDxfId="85" totalsRowDxfId="84"/>
    <tableColumn id="4" xr3:uid="{7BE2DBD0-96C7-4A98-A92E-C684195192E9}" name="时间" totalsRowFunction="custom" dataDxfId="83" totalsRowDxfId="82">
      <totalsRowFormula>TODAY()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A33780-A510-452F-9AAB-E97175A8C1FA}" name="表3_6" displayName="表3_6" ref="A42:L62" totalsRowCount="1" headerRowDxfId="81" dataDxfId="80" totalsRowDxfId="79">
  <autoFilter ref="A42:L61" xr:uid="{ACA33780-A510-452F-9AAB-E97175A8C1FA}"/>
  <sortState xmlns:xlrd2="http://schemas.microsoft.com/office/spreadsheetml/2017/richdata2" ref="A43:L61">
    <sortCondition ref="L42:L61"/>
  </sortState>
  <tableColumns count="12">
    <tableColumn id="1" xr3:uid="{5A6A16E7-62F4-4A57-9FE5-991F34C452CD}" name="名称" totalsRowLabel="汇总" dataDxfId="78" totalsRowDxfId="77"/>
    <tableColumn id="6" xr3:uid="{FDAC4B1B-4156-428A-888A-90BB0DA945AB}" name="电池" totalsRowFunction="custom" dataDxfId="76" totalsRowDxfId="75">
      <totalsRowFormula>SUBTOTAL(103,表3_6[名称])</totalsRowFormula>
    </tableColumn>
    <tableColumn id="7" xr3:uid="{C9289A16-9F49-4344-9461-4FB6AB7D6E6C}" name="内存" dataDxfId="74" totalsRowDxfId="73"/>
    <tableColumn id="10" xr3:uid="{1CD1CEBE-74A5-4008-BEB0-B2DFB79B9001}" name="颜色" dataDxfId="72" totalsRowDxfId="71"/>
    <tableColumn id="5" xr3:uid="{5C4403B6-D49F-448D-89FF-5F964D7E2778}" name="序列号" dataDxfId="70" totalsRowDxfId="69"/>
    <tableColumn id="2" xr3:uid="{8C3FE661-67BC-4734-ADE3-853FCA086F70}" name="成本" totalsRowFunction="sum" dataDxfId="68" totalsRowDxfId="67"/>
    <tableColumn id="3" xr3:uid="{C705D496-E22C-4863-B09C-4278E5CAFD16}" name="售价" totalsRowFunction="sum" dataDxfId="66" totalsRowDxfId="65"/>
    <tableColumn id="13" xr3:uid="{0BF64364-B0BC-448A-90F7-1FADA9B0B401}" name="手续费" totalsRowFunction="sum" dataDxfId="64" totalsRowDxfId="63">
      <calculatedColumnFormula>表3_6[[#This Row],[售价]]*1.6%</calculatedColumnFormula>
    </tableColumn>
    <tableColumn id="11" xr3:uid="{6E1D62CC-B8EB-4A2E-9EBB-EF0C6CEDF47C}" name="实际到手" totalsRowFunction="sum" dataDxfId="62" totalsRowDxfId="61">
      <calculatedColumnFormula>表3_6[[#This Row],[售价]]-表3_6[[#This Row],[手续费]]</calculatedColumnFormula>
    </tableColumn>
    <tableColumn id="12" xr3:uid="{26293AAD-28A2-42FA-A5F5-14E707B0BB68}" name="预计利润" totalsRowFunction="sum" dataDxfId="60" totalsRowDxfId="59">
      <calculatedColumnFormula>表3_6[[#This Row],[售价]]-表3_6[[#This Row],[成本]]-表3_6[[#This Row],[手续费]]</calculatedColumnFormula>
    </tableColumn>
    <tableColumn id="4" xr3:uid="{9A813678-F162-416D-BB38-646233E880F0}" name="备注" totalsRowFunction="sum" dataDxfId="58" totalsRowDxfId="57"/>
    <tableColumn id="8" xr3:uid="{E41E8375-71FA-4888-8F63-FE41EEE93AB8}" name="时间" totalsRowFunction="custom" dataDxfId="56" totalsRowDxfId="55">
      <totalsRowFormula>TODAY()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E03F5B-A75D-4DA8-B5BA-68FCC8AA0AD7}" name="表4" displayName="表4" ref="A1:F62" totalsRowCount="1" headerRowDxfId="54" dataDxfId="53" totalsRowDxfId="52">
  <autoFilter ref="A1:F61" xr:uid="{B2E03F5B-A75D-4DA8-B5BA-68FCC8AA0AD7}"/>
  <sortState xmlns:xlrd2="http://schemas.microsoft.com/office/spreadsheetml/2017/richdata2" ref="A2:F61">
    <sortCondition ref="D1:D61"/>
  </sortState>
  <tableColumns count="6">
    <tableColumn id="1" xr3:uid="{E2182AEB-C3FA-43EA-A855-CE01D8FC83AA}" name="类型" totalsRowLabel="汇总" dataDxfId="51" totalsRowDxfId="50"/>
    <tableColumn id="2" xr3:uid="{2600D564-816D-4ED6-A572-B999F0EE828A}" name="名称" dataDxfId="49" totalsRowDxfId="48"/>
    <tableColumn id="3" xr3:uid="{0A0A13CE-08C9-474F-B245-73C94F3FA1BC}" name="数量" dataDxfId="47" totalsRowDxfId="46"/>
    <tableColumn id="4" xr3:uid="{9A29206E-A07A-4181-AC89-9A3938A0D732}" name="成本单价" dataDxfId="45" totalsRowDxfId="44"/>
    <tableColumn id="5" xr3:uid="{47ACA315-2FB4-4AA7-AECA-C0FC5FFAF171}" name="成本总价" totalsRowFunction="sum" dataDxfId="43" totalsRowDxfId="42">
      <calculatedColumnFormula>表4[[#This Row],[数量]]*表4[[#This Row],[成本单价]]</calculatedColumnFormula>
    </tableColumn>
    <tableColumn id="6" xr3:uid="{ECB3A29D-A32C-4162-9390-46B2CA7981C6}" name="售价" totalsRowFunction="sum" dataDxfId="41" totalsRow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6ABE21-920D-4D0B-8455-16343B4C71BA}" name="表6" displayName="表6" ref="A1:B26" totalsRowCount="1" headerRowDxfId="39" dataDxfId="38" totalsRowDxfId="37">
  <autoFilter ref="A1:B25" xr:uid="{A66ABE21-920D-4D0B-8455-16343B4C71BA}"/>
  <tableColumns count="2">
    <tableColumn id="1" xr3:uid="{8F39B275-7EAC-4D04-A226-9F6DEBE617A9}" name="明细" totalsRowLabel="汇总" dataDxfId="36" totalsRowDxfId="35"/>
    <tableColumn id="2" xr3:uid="{FFF1B258-0271-40F9-9694-67995E1DEA32}" name="金额" totalsRowFunction="sum" dataDxfId="34" totalsRow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F9FFAE-BC42-442B-A1B5-F4B1E9CC9BA4}" name="表7" displayName="表7" ref="A1:K47" totalsRowCount="1" headerRowDxfId="32" dataDxfId="30" totalsRowDxfId="28" headerRowBorderDxfId="31" tableBorderDxfId="29">
  <autoFilter ref="A1:K46" xr:uid="{39F9FFAE-BC42-442B-A1B5-F4B1E9CC9BA4}"/>
  <tableColumns count="11">
    <tableColumn id="1" xr3:uid="{C2772506-2EF4-49B9-867B-3F1D19D5DA48}" name="名称" totalsRowLabel="总计" dataDxfId="27" totalsRowDxfId="26"/>
    <tableColumn id="2" xr3:uid="{F05FB769-F356-4BB8-BF2F-FCC3E931F9D1}" name="电池" totalsRowFunction="custom" dataDxfId="25" totalsRowDxfId="24">
      <totalsRowFormula>SUBTOTAL(103,表7[名称])</totalsRowFormula>
    </tableColumn>
    <tableColumn id="3" xr3:uid="{ED1AA781-E524-41D1-A94D-BD21144C11F4}" name="内存" dataDxfId="23" totalsRowDxfId="22"/>
    <tableColumn id="4" xr3:uid="{F930CDE0-92A4-4A38-99EA-223E61E7209C}" name="颜色" dataDxfId="21" totalsRowDxfId="20"/>
    <tableColumn id="5" xr3:uid="{C8AAAEB9-1AC3-4E47-9C05-F9FE0A29A3B4}" name="序列号" dataDxfId="19" totalsRowDxfId="18"/>
    <tableColumn id="6" xr3:uid="{40D8FEFD-A391-482B-9CCC-8EF5BD43BAC1}" name="成本" totalsRowFunction="sum" dataDxfId="17" totalsRowDxfId="16"/>
    <tableColumn id="7" xr3:uid="{6792EA21-E662-4724-90A1-2F50EE362080}" name="售价" totalsRowFunction="sum" dataDxfId="15" totalsRowDxfId="14"/>
    <tableColumn id="8" xr3:uid="{E0552E80-C1EC-41B8-BFD3-20BFE35A112D}" name="手续费" totalsRowFunction="sum" dataDxfId="13" totalsRowDxfId="12"/>
    <tableColumn id="9" xr3:uid="{2FFC5A23-CC86-4D82-B9C4-C54758F16A4B}" name="预计利润" totalsRowFunction="sum" dataDxfId="11" totalsRowDxfId="10"/>
    <tableColumn id="10" xr3:uid="{06833599-3DE4-462B-8B09-43787930421D}" name="备注" dataDxfId="9" totalsRowDxfId="8"/>
    <tableColumn id="11" xr3:uid="{CC410C78-BB48-4D21-8447-D1943498696A}" name="时间" totalsRowFunction="count" dataDxfId="7" totalsRowDxfId="6"/>
  </tableColumns>
  <tableStyleInfo name="TableStyleMedium4" showFirstColumn="0" showLastColumn="0" showRowStripes="1" showColumn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6"/>
  <sheetViews>
    <sheetView topLeftCell="A6" workbookViewId="0">
      <selection activeCell="H31" sqref="H31"/>
    </sheetView>
  </sheetViews>
  <sheetFormatPr defaultColWidth="9" defaultRowHeight="14.25"/>
  <cols>
    <col min="1" max="1" width="40.625" style="1" customWidth="1"/>
    <col min="2" max="2" width="10.625" style="1" customWidth="1"/>
    <col min="3" max="4" width="20.625" style="9" customWidth="1"/>
    <col min="5" max="16384" width="9" style="1"/>
  </cols>
  <sheetData>
    <row r="1" spans="1:4" ht="15" customHeight="1">
      <c r="A1" s="21" t="s">
        <v>0</v>
      </c>
      <c r="B1" s="67" t="s">
        <v>1</v>
      </c>
      <c r="C1" s="22" t="s">
        <v>2</v>
      </c>
      <c r="D1" s="22" t="s">
        <v>3</v>
      </c>
    </row>
    <row r="2" spans="1:4" ht="15" customHeight="1">
      <c r="A2" s="44" t="s">
        <v>4</v>
      </c>
      <c r="B2" s="44">
        <v>400</v>
      </c>
      <c r="C2" s="45">
        <v>1.65</v>
      </c>
      <c r="D2" s="45">
        <v>659</v>
      </c>
    </row>
    <row r="3" spans="1:4" ht="15" customHeight="1">
      <c r="A3" s="54" t="s">
        <v>5</v>
      </c>
      <c r="B3" s="44">
        <v>200</v>
      </c>
      <c r="C3" s="45">
        <v>3.3</v>
      </c>
      <c r="D3" s="45">
        <v>659</v>
      </c>
    </row>
    <row r="4" spans="1:4" ht="15" customHeight="1">
      <c r="A4" s="54" t="s">
        <v>6</v>
      </c>
      <c r="B4" s="44">
        <v>110</v>
      </c>
      <c r="C4" s="45">
        <v>3.63</v>
      </c>
      <c r="D4" s="45">
        <v>399</v>
      </c>
    </row>
    <row r="5" spans="1:4" ht="15" customHeight="1">
      <c r="A5" s="54" t="s">
        <v>7</v>
      </c>
      <c r="B5" s="44">
        <v>105</v>
      </c>
      <c r="C5" s="45">
        <v>6.37</v>
      </c>
      <c r="D5" s="45">
        <v>669</v>
      </c>
    </row>
    <row r="6" spans="1:4" ht="17.25">
      <c r="A6" s="44" t="s">
        <v>8</v>
      </c>
      <c r="B6" s="44">
        <v>85</v>
      </c>
      <c r="C6" s="45">
        <v>5.87</v>
      </c>
      <c r="D6" s="45">
        <v>499</v>
      </c>
    </row>
    <row r="7" spans="1:4" ht="17.25">
      <c r="A7" s="44" t="s">
        <v>9</v>
      </c>
      <c r="B7" s="44">
        <v>108</v>
      </c>
      <c r="C7" s="45">
        <v>6.16</v>
      </c>
      <c r="D7" s="45">
        <v>665</v>
      </c>
    </row>
    <row r="8" spans="1:4" ht="17.25">
      <c r="A8" s="44" t="s">
        <v>10</v>
      </c>
      <c r="B8" s="44">
        <v>40</v>
      </c>
      <c r="C8" s="45">
        <v>13</v>
      </c>
      <c r="D8" s="45">
        <v>520</v>
      </c>
    </row>
    <row r="9" spans="1:4" ht="17.25">
      <c r="A9" s="44" t="s">
        <v>11</v>
      </c>
      <c r="B9" s="44">
        <v>40</v>
      </c>
      <c r="C9" s="45">
        <v>14</v>
      </c>
      <c r="D9" s="45">
        <v>560</v>
      </c>
    </row>
    <row r="10" spans="1:4" ht="17.25">
      <c r="A10" s="44" t="s">
        <v>12</v>
      </c>
      <c r="B10" s="44">
        <v>40</v>
      </c>
      <c r="C10" s="45">
        <v>16</v>
      </c>
      <c r="D10" s="45">
        <v>640</v>
      </c>
    </row>
    <row r="11" spans="1:4" ht="17.25">
      <c r="A11" s="44" t="s">
        <v>13</v>
      </c>
      <c r="B11" s="44">
        <v>55</v>
      </c>
      <c r="C11" s="45">
        <v>8</v>
      </c>
      <c r="D11" s="45">
        <v>440</v>
      </c>
    </row>
    <row r="12" spans="1:4" ht="17.25">
      <c r="A12" s="44" t="s">
        <v>14</v>
      </c>
      <c r="B12" s="44">
        <v>3</v>
      </c>
      <c r="C12" s="45">
        <v>20</v>
      </c>
      <c r="D12" s="45">
        <v>60</v>
      </c>
    </row>
    <row r="13" spans="1:4" ht="17.25">
      <c r="A13" s="44" t="s">
        <v>15</v>
      </c>
      <c r="B13" s="44">
        <v>20</v>
      </c>
      <c r="C13" s="45">
        <v>24.9</v>
      </c>
      <c r="D13" s="45">
        <v>498</v>
      </c>
    </row>
    <row r="14" spans="1:4" ht="17.25">
      <c r="A14" s="44" t="s">
        <v>16</v>
      </c>
      <c r="B14" s="44">
        <v>10</v>
      </c>
      <c r="C14" s="45">
        <v>29.9</v>
      </c>
      <c r="D14" s="45">
        <v>299</v>
      </c>
    </row>
    <row r="15" spans="1:4" ht="17.25">
      <c r="A15" s="44" t="s">
        <v>17</v>
      </c>
      <c r="B15" s="44">
        <v>42</v>
      </c>
      <c r="C15" s="45">
        <v>11.4</v>
      </c>
      <c r="D15" s="45">
        <v>479</v>
      </c>
    </row>
    <row r="16" spans="1:4" ht="17.25">
      <c r="A16" s="44" t="s">
        <v>18</v>
      </c>
      <c r="B16" s="44">
        <v>26</v>
      </c>
      <c r="C16" s="45">
        <v>14.19</v>
      </c>
      <c r="D16" s="45">
        <v>369</v>
      </c>
    </row>
    <row r="17" spans="1:4" ht="17.25">
      <c r="A17" s="44" t="s">
        <v>19</v>
      </c>
      <c r="B17" s="44">
        <v>344</v>
      </c>
      <c r="C17" s="45">
        <v>2.9</v>
      </c>
      <c r="D17" s="45">
        <v>999</v>
      </c>
    </row>
    <row r="18" spans="1:4" ht="17.25">
      <c r="A18" s="44" t="s">
        <v>20</v>
      </c>
      <c r="B18" s="44">
        <v>26</v>
      </c>
      <c r="C18" s="45">
        <v>14.19</v>
      </c>
      <c r="D18" s="45">
        <v>369</v>
      </c>
    </row>
    <row r="19" spans="1:4" ht="17.25">
      <c r="A19" s="44" t="s">
        <v>21</v>
      </c>
      <c r="B19" s="44">
        <v>60</v>
      </c>
      <c r="C19" s="45">
        <v>5.5</v>
      </c>
      <c r="D19" s="45">
        <v>330</v>
      </c>
    </row>
    <row r="20" spans="1:4" ht="17.25">
      <c r="A20" s="44" t="s">
        <v>22</v>
      </c>
      <c r="B20" s="44">
        <v>1</v>
      </c>
      <c r="C20" s="45">
        <v>65</v>
      </c>
      <c r="D20" s="45">
        <v>65</v>
      </c>
    </row>
    <row r="21" spans="1:4" ht="17.25">
      <c r="A21" s="44" t="s">
        <v>23</v>
      </c>
      <c r="B21" s="44">
        <v>1</v>
      </c>
      <c r="C21" s="45">
        <v>18</v>
      </c>
      <c r="D21" s="45">
        <v>18</v>
      </c>
    </row>
    <row r="22" spans="1:4" ht="17.25">
      <c r="A22" s="44" t="s">
        <v>24</v>
      </c>
      <c r="B22" s="44">
        <v>2</v>
      </c>
      <c r="C22" s="45">
        <v>10</v>
      </c>
      <c r="D22" s="45">
        <v>20</v>
      </c>
    </row>
    <row r="23" spans="1:4" ht="17.25">
      <c r="A23" s="44" t="s">
        <v>25</v>
      </c>
      <c r="B23" s="44">
        <v>2</v>
      </c>
      <c r="C23" s="45">
        <v>3</v>
      </c>
      <c r="D23" s="45">
        <v>6</v>
      </c>
    </row>
    <row r="24" spans="1:4" ht="17.25">
      <c r="A24" s="44" t="s">
        <v>26</v>
      </c>
      <c r="B24" s="44">
        <v>2</v>
      </c>
      <c r="C24" s="45">
        <v>7</v>
      </c>
      <c r="D24" s="45">
        <v>14</v>
      </c>
    </row>
    <row r="25" spans="1:4" ht="17.25">
      <c r="A25" s="44" t="s">
        <v>27</v>
      </c>
      <c r="B25" s="44">
        <v>2</v>
      </c>
      <c r="C25" s="45">
        <v>26</v>
      </c>
      <c r="D25" s="45">
        <v>52</v>
      </c>
    </row>
    <row r="26" spans="1:4" ht="17.25">
      <c r="A26" s="44" t="s">
        <v>28</v>
      </c>
      <c r="B26" s="44">
        <v>1</v>
      </c>
      <c r="C26" s="45">
        <v>25</v>
      </c>
      <c r="D26" s="45">
        <v>25</v>
      </c>
    </row>
    <row r="27" spans="1:4" ht="17.25">
      <c r="A27" s="44" t="s">
        <v>29</v>
      </c>
      <c r="B27" s="44">
        <v>1</v>
      </c>
      <c r="C27" s="45">
        <v>8</v>
      </c>
      <c r="D27" s="45">
        <v>8</v>
      </c>
    </row>
    <row r="28" spans="1:4" ht="17.25">
      <c r="A28" s="44" t="s">
        <v>30</v>
      </c>
      <c r="B28" s="44">
        <v>4</v>
      </c>
      <c r="C28" s="45">
        <v>13</v>
      </c>
      <c r="D28" s="45">
        <v>52</v>
      </c>
    </row>
    <row r="29" spans="1:4" ht="17.25">
      <c r="A29" s="44" t="s">
        <v>31</v>
      </c>
      <c r="B29" s="44">
        <v>1</v>
      </c>
      <c r="C29" s="45">
        <v>499</v>
      </c>
      <c r="D29" s="45">
        <v>499</v>
      </c>
    </row>
    <row r="30" spans="1:4" ht="17.25">
      <c r="A30" s="44" t="s">
        <v>32</v>
      </c>
      <c r="B30" s="44">
        <v>1</v>
      </c>
      <c r="C30" s="45">
        <v>1699</v>
      </c>
      <c r="D30" s="45">
        <v>1699</v>
      </c>
    </row>
    <row r="31" spans="1:4" ht="17.25">
      <c r="A31" s="44" t="s">
        <v>33</v>
      </c>
      <c r="B31" s="44">
        <v>20</v>
      </c>
      <c r="C31" s="45">
        <v>5.99</v>
      </c>
      <c r="D31" s="45">
        <v>119.8</v>
      </c>
    </row>
    <row r="32" spans="1:4" ht="17.25">
      <c r="A32" s="44" t="s">
        <v>34</v>
      </c>
      <c r="B32" s="44">
        <v>20</v>
      </c>
      <c r="C32" s="45">
        <v>5.99</v>
      </c>
      <c r="D32" s="45">
        <v>119.8</v>
      </c>
    </row>
    <row r="33" spans="1:4" ht="17.25">
      <c r="A33" s="44" t="s">
        <v>35</v>
      </c>
      <c r="B33" s="44">
        <v>20</v>
      </c>
      <c r="C33" s="45">
        <v>6.99</v>
      </c>
      <c r="D33" s="45">
        <v>139.80000000000001</v>
      </c>
    </row>
    <row r="34" spans="1:4" ht="17.25">
      <c r="A34" s="44" t="s">
        <v>36</v>
      </c>
      <c r="B34" s="44">
        <v>20</v>
      </c>
      <c r="C34" s="45">
        <v>6.99</v>
      </c>
      <c r="D34" s="45">
        <v>139.80000000000001</v>
      </c>
    </row>
    <row r="35" spans="1:4" ht="17.25">
      <c r="A35" s="44" t="s">
        <v>37</v>
      </c>
      <c r="B35" s="44">
        <v>20</v>
      </c>
      <c r="C35" s="45">
        <v>6.99</v>
      </c>
      <c r="D35" s="45">
        <v>139.80000000000001</v>
      </c>
    </row>
    <row r="36" spans="1:4" ht="17.25">
      <c r="A36" s="44" t="s">
        <v>38</v>
      </c>
      <c r="B36" s="44">
        <v>10</v>
      </c>
      <c r="C36" s="45">
        <v>8.5</v>
      </c>
      <c r="D36" s="45">
        <v>85</v>
      </c>
    </row>
    <row r="37" spans="1:4" ht="17.25">
      <c r="A37" s="44" t="s">
        <v>39</v>
      </c>
      <c r="B37" s="44">
        <v>10</v>
      </c>
      <c r="C37" s="45">
        <v>11.9</v>
      </c>
      <c r="D37" s="45">
        <v>119</v>
      </c>
    </row>
    <row r="38" spans="1:4" ht="17.25">
      <c r="A38" s="44" t="s">
        <v>40</v>
      </c>
      <c r="B38" s="44">
        <v>10</v>
      </c>
      <c r="C38" s="45">
        <v>11.9</v>
      </c>
      <c r="D38" s="45">
        <v>119</v>
      </c>
    </row>
    <row r="39" spans="1:4" ht="17.25">
      <c r="A39" s="44" t="s">
        <v>41</v>
      </c>
      <c r="B39" s="44">
        <v>10</v>
      </c>
      <c r="C39" s="45">
        <v>17.8</v>
      </c>
      <c r="D39" s="45">
        <v>178</v>
      </c>
    </row>
    <row r="40" spans="1:4" ht="17.25">
      <c r="A40" s="44" t="s">
        <v>42</v>
      </c>
      <c r="B40" s="44">
        <v>10</v>
      </c>
      <c r="C40" s="45">
        <v>25.9</v>
      </c>
      <c r="D40" s="45">
        <v>259</v>
      </c>
    </row>
    <row r="41" spans="1:4" ht="17.25">
      <c r="A41" s="44" t="s">
        <v>43</v>
      </c>
      <c r="B41" s="44">
        <v>10</v>
      </c>
      <c r="C41" s="45">
        <v>32.9</v>
      </c>
      <c r="D41" s="45">
        <v>329</v>
      </c>
    </row>
    <row r="42" spans="1:4" ht="17.25">
      <c r="A42" s="44" t="s">
        <v>44</v>
      </c>
      <c r="B42" s="44">
        <v>10</v>
      </c>
      <c r="C42" s="45">
        <v>29.9</v>
      </c>
      <c r="D42" s="45">
        <v>299</v>
      </c>
    </row>
    <row r="43" spans="1:4">
      <c r="A43" s="52" t="s">
        <v>45</v>
      </c>
      <c r="B43" s="52">
        <f>SUBTOTAL(109,表1[数量])</f>
        <v>1902</v>
      </c>
      <c r="C43" s="53">
        <f>SUBTOTAL(101,表1[单价])</f>
        <v>66.96853658536584</v>
      </c>
      <c r="D43" s="53">
        <f>SUBTOTAL(109,表1[成本])</f>
        <v>13617.999999999996</v>
      </c>
    </row>
    <row r="44" spans="1:4">
      <c r="A44" s="81" t="s">
        <v>46</v>
      </c>
      <c r="B44" s="81"/>
      <c r="C44" s="81"/>
      <c r="D44" s="84">
        <f ca="1">TODAY()</f>
        <v>46171</v>
      </c>
    </row>
    <row r="45" spans="1:4">
      <c r="A45" s="81"/>
      <c r="B45" s="81"/>
      <c r="C45" s="81"/>
      <c r="D45" s="84"/>
    </row>
    <row r="46" spans="1:4">
      <c r="A46" s="81"/>
      <c r="B46" s="81"/>
      <c r="C46" s="81"/>
      <c r="D46" s="84"/>
    </row>
  </sheetData>
  <mergeCells count="2">
    <mergeCell ref="A44:C46"/>
    <mergeCell ref="D44:D46"/>
  </mergeCells>
  <phoneticPr fontId="2" type="noConversion"/>
  <printOptions headings="1"/>
  <pageMargins left="0.75" right="0.75" top="1" bottom="1" header="0.51180555555555596" footer="0.51180555555555596"/>
  <pageSetup paperSize="9" orientation="portrait" r:id="rId1"/>
  <headerFooter scaleWithDoc="0"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43"/>
  <sheetViews>
    <sheetView topLeftCell="A278" workbookViewId="0">
      <selection activeCell="L304" sqref="L304"/>
    </sheetView>
  </sheetViews>
  <sheetFormatPr defaultColWidth="9" defaultRowHeight="14.25"/>
  <cols>
    <col min="1" max="1" width="38.625" style="1" customWidth="1"/>
    <col min="2" max="3" width="15.875" style="3" customWidth="1"/>
    <col min="4" max="4" width="19.625" style="9" customWidth="1"/>
    <col min="5" max="5" width="12.125" style="1" customWidth="1"/>
    <col min="6" max="6" width="21.125" style="1" customWidth="1"/>
    <col min="7" max="16384" width="9" style="1"/>
  </cols>
  <sheetData>
    <row r="1" spans="1:6" ht="22.5" customHeight="1">
      <c r="A1" s="67" t="s">
        <v>47</v>
      </c>
      <c r="B1" s="12" t="s">
        <v>48</v>
      </c>
      <c r="C1" s="12" t="s">
        <v>49</v>
      </c>
      <c r="D1" s="50" t="s">
        <v>50</v>
      </c>
      <c r="E1" s="13" t="s">
        <v>51</v>
      </c>
      <c r="F1" s="67" t="s">
        <v>52</v>
      </c>
    </row>
    <row r="2" spans="1:6" ht="22.5" customHeight="1">
      <c r="A2" s="67" t="s">
        <v>53</v>
      </c>
      <c r="B2" s="12">
        <v>15</v>
      </c>
      <c r="C2" s="12">
        <v>2</v>
      </c>
      <c r="D2" s="50">
        <f>表2[[#This Row],[金额]]-表2[[#This Row],[成本]]</f>
        <v>13</v>
      </c>
      <c r="E2" s="13">
        <v>45995</v>
      </c>
      <c r="F2" s="67" t="s">
        <v>54</v>
      </c>
    </row>
    <row r="3" spans="1:6" ht="22.5" customHeight="1">
      <c r="A3" s="67" t="s">
        <v>55</v>
      </c>
      <c r="B3" s="12">
        <v>994</v>
      </c>
      <c r="C3" s="12">
        <f>(760+100)</f>
        <v>860</v>
      </c>
      <c r="D3" s="50">
        <f>表2[[#This Row],[金额]]-表2[[#This Row],[成本]]</f>
        <v>134</v>
      </c>
      <c r="E3" s="13">
        <v>45995</v>
      </c>
      <c r="F3" s="67" t="s">
        <v>54</v>
      </c>
    </row>
    <row r="4" spans="1:6" ht="22.5" customHeight="1">
      <c r="A4" s="67" t="s">
        <v>56</v>
      </c>
      <c r="B4" s="12">
        <v>944.3</v>
      </c>
      <c r="C4" s="12">
        <v>750</v>
      </c>
      <c r="D4" s="50">
        <f>表2[[#This Row],[金额]]-表2[[#This Row],[成本]]</f>
        <v>194.29999999999995</v>
      </c>
      <c r="E4" s="13">
        <v>45995</v>
      </c>
      <c r="F4" s="67" t="s">
        <v>54</v>
      </c>
    </row>
    <row r="5" spans="1:6" ht="22.5" customHeight="1">
      <c r="A5" s="67" t="s">
        <v>57</v>
      </c>
      <c r="B5" s="12">
        <v>200</v>
      </c>
      <c r="C5" s="12">
        <v>50</v>
      </c>
      <c r="D5" s="50">
        <f>表2[[#This Row],[金额]]-表2[[#This Row],[成本]]</f>
        <v>150</v>
      </c>
      <c r="E5" s="13">
        <v>45996</v>
      </c>
      <c r="F5" s="67" t="s">
        <v>54</v>
      </c>
    </row>
    <row r="6" spans="1:6" ht="22.5" customHeight="1">
      <c r="A6" s="67" t="s">
        <v>58</v>
      </c>
      <c r="B6" s="12">
        <v>250</v>
      </c>
      <c r="C6" s="12">
        <v>0</v>
      </c>
      <c r="D6" s="50">
        <f>表2[[#This Row],[金额]]-表2[[#This Row],[成本]]</f>
        <v>250</v>
      </c>
      <c r="E6" s="13">
        <v>45996</v>
      </c>
      <c r="F6" s="67" t="s">
        <v>54</v>
      </c>
    </row>
    <row r="7" spans="1:6" ht="22.5" customHeight="1">
      <c r="A7" s="67" t="s">
        <v>53</v>
      </c>
      <c r="B7" s="12">
        <v>8.8800000000000008</v>
      </c>
      <c r="C7" s="12">
        <v>2</v>
      </c>
      <c r="D7" s="50">
        <f>表2[[#This Row],[金额]]-表2[[#This Row],[成本]]</f>
        <v>6.8800000000000008</v>
      </c>
      <c r="E7" s="13">
        <v>45999</v>
      </c>
      <c r="F7" s="67" t="s">
        <v>54</v>
      </c>
    </row>
    <row r="8" spans="1:6" ht="22.5" customHeight="1">
      <c r="A8" s="67" t="s">
        <v>53</v>
      </c>
      <c r="B8" s="12">
        <v>10</v>
      </c>
      <c r="C8" s="12">
        <v>2</v>
      </c>
      <c r="D8" s="50">
        <f>表2[[#This Row],[金额]]-表2[[#This Row],[成本]]</f>
        <v>8</v>
      </c>
      <c r="E8" s="13">
        <v>45999</v>
      </c>
      <c r="F8" s="67" t="s">
        <v>54</v>
      </c>
    </row>
    <row r="9" spans="1:6" ht="22.5" customHeight="1">
      <c r="A9" s="67" t="s">
        <v>53</v>
      </c>
      <c r="B9" s="12">
        <v>10</v>
      </c>
      <c r="C9" s="12">
        <v>2</v>
      </c>
      <c r="D9" s="50">
        <f>表2[[#This Row],[金额]]-表2[[#This Row],[成本]]</f>
        <v>8</v>
      </c>
      <c r="E9" s="13">
        <v>45999</v>
      </c>
      <c r="F9" s="67" t="s">
        <v>54</v>
      </c>
    </row>
    <row r="10" spans="1:6" ht="22.5" customHeight="1">
      <c r="A10" s="67" t="s">
        <v>59</v>
      </c>
      <c r="B10" s="12">
        <v>250</v>
      </c>
      <c r="C10" s="12">
        <v>0</v>
      </c>
      <c r="D10" s="50">
        <f>表2[[#This Row],[金额]]-表2[[#This Row],[成本]]</f>
        <v>250</v>
      </c>
      <c r="E10" s="13">
        <v>45999</v>
      </c>
      <c r="F10" s="67" t="s">
        <v>54</v>
      </c>
    </row>
    <row r="11" spans="1:6" ht="22.5" customHeight="1">
      <c r="A11" s="67" t="s">
        <v>53</v>
      </c>
      <c r="B11" s="12">
        <v>20</v>
      </c>
      <c r="C11" s="12">
        <v>2</v>
      </c>
      <c r="D11" s="50">
        <f>表2[[#This Row],[金额]]-表2[[#This Row],[成本]]</f>
        <v>18</v>
      </c>
      <c r="E11" s="13">
        <v>46001</v>
      </c>
      <c r="F11" s="67" t="s">
        <v>54</v>
      </c>
    </row>
    <row r="12" spans="1:6" ht="22.5" customHeight="1">
      <c r="A12" s="67" t="s">
        <v>60</v>
      </c>
      <c r="B12" s="12">
        <v>15</v>
      </c>
      <c r="C12" s="12">
        <v>4</v>
      </c>
      <c r="D12" s="50">
        <f>表2[[#This Row],[金额]]-表2[[#This Row],[成本]]</f>
        <v>11</v>
      </c>
      <c r="E12" s="13">
        <v>46002</v>
      </c>
      <c r="F12" s="67" t="s">
        <v>54</v>
      </c>
    </row>
    <row r="13" spans="1:6" ht="22.5" customHeight="1">
      <c r="A13" s="67" t="s">
        <v>53</v>
      </c>
      <c r="B13" s="12">
        <v>15</v>
      </c>
      <c r="C13" s="12">
        <v>4</v>
      </c>
      <c r="D13" s="50">
        <f>表2[[#This Row],[金额]]-表2[[#This Row],[成本]]</f>
        <v>11</v>
      </c>
      <c r="E13" s="13">
        <v>46002</v>
      </c>
      <c r="F13" s="67" t="s">
        <v>54</v>
      </c>
    </row>
    <row r="14" spans="1:6" ht="22.5" customHeight="1">
      <c r="A14" s="67" t="s">
        <v>61</v>
      </c>
      <c r="B14" s="12">
        <v>2415</v>
      </c>
      <c r="C14" s="12">
        <v>2200</v>
      </c>
      <c r="D14" s="50">
        <f>表2[[#This Row],[金额]]-表2[[#This Row],[成本]]</f>
        <v>215</v>
      </c>
      <c r="E14" s="68">
        <v>46003</v>
      </c>
      <c r="F14" s="67" t="s">
        <v>54</v>
      </c>
    </row>
    <row r="15" spans="1:6" ht="22.5" customHeight="1">
      <c r="A15" s="67" t="s">
        <v>53</v>
      </c>
      <c r="B15" s="12">
        <v>15</v>
      </c>
      <c r="C15" s="12">
        <v>2</v>
      </c>
      <c r="D15" s="50">
        <f>表2[[#This Row],[金额]]-表2[[#This Row],[成本]]</f>
        <v>13</v>
      </c>
      <c r="E15" s="13">
        <v>46003</v>
      </c>
      <c r="F15" s="67" t="s">
        <v>54</v>
      </c>
    </row>
    <row r="16" spans="1:6" ht="22.5" customHeight="1">
      <c r="A16" s="67" t="s">
        <v>62</v>
      </c>
      <c r="B16" s="12">
        <v>4715</v>
      </c>
      <c r="C16" s="12">
        <v>4000</v>
      </c>
      <c r="D16" s="50">
        <f>表2[[#This Row],[金额]]-表2[[#This Row],[成本]]</f>
        <v>715</v>
      </c>
      <c r="E16" s="13">
        <v>46003</v>
      </c>
      <c r="F16" s="67" t="s">
        <v>54</v>
      </c>
    </row>
    <row r="17" spans="1:6" ht="22.5" customHeight="1">
      <c r="A17" s="67" t="s">
        <v>60</v>
      </c>
      <c r="B17" s="12">
        <v>15</v>
      </c>
      <c r="C17" s="12">
        <v>4</v>
      </c>
      <c r="D17" s="50">
        <f>表2[[#This Row],[金额]]-表2[[#This Row],[成本]]</f>
        <v>11</v>
      </c>
      <c r="E17" s="13">
        <v>46006</v>
      </c>
      <c r="F17" s="67" t="s">
        <v>54</v>
      </c>
    </row>
    <row r="18" spans="1:6" ht="22.5" customHeight="1">
      <c r="A18" s="67" t="s">
        <v>53</v>
      </c>
      <c r="B18" s="12">
        <v>15</v>
      </c>
      <c r="C18" s="12">
        <v>2</v>
      </c>
      <c r="D18" s="50">
        <f>表2[[#This Row],[金额]]-表2[[#This Row],[成本]]</f>
        <v>13</v>
      </c>
      <c r="E18" s="13">
        <v>46006</v>
      </c>
      <c r="F18" s="67" t="s">
        <v>54</v>
      </c>
    </row>
    <row r="19" spans="1:6" ht="22.5" customHeight="1">
      <c r="A19" s="67" t="s">
        <v>63</v>
      </c>
      <c r="B19" s="12">
        <v>25</v>
      </c>
      <c r="C19" s="12">
        <v>12</v>
      </c>
      <c r="D19" s="50">
        <f>表2[[#This Row],[金额]]-表2[[#This Row],[成本]]</f>
        <v>13</v>
      </c>
      <c r="E19" s="13">
        <v>46006</v>
      </c>
      <c r="F19" s="67" t="s">
        <v>54</v>
      </c>
    </row>
    <row r="20" spans="1:6" ht="22.5" customHeight="1">
      <c r="A20" s="67" t="s">
        <v>53</v>
      </c>
      <c r="B20" s="12">
        <v>25</v>
      </c>
      <c r="C20" s="12">
        <v>3.5</v>
      </c>
      <c r="D20" s="50">
        <f>表2[[#This Row],[金额]]-表2[[#This Row],[成本]]</f>
        <v>21.5</v>
      </c>
      <c r="E20" s="13">
        <v>46006</v>
      </c>
      <c r="F20" s="67" t="s">
        <v>54</v>
      </c>
    </row>
    <row r="21" spans="1:6" ht="22.5" customHeight="1">
      <c r="A21" s="67" t="s">
        <v>64</v>
      </c>
      <c r="B21" s="12">
        <v>122</v>
      </c>
      <c r="C21" s="12">
        <v>60</v>
      </c>
      <c r="D21" s="50">
        <f>表2[[#This Row],[金额]]-表2[[#This Row],[成本]]</f>
        <v>62</v>
      </c>
      <c r="E21" s="68">
        <v>46007</v>
      </c>
      <c r="F21" s="67" t="s">
        <v>54</v>
      </c>
    </row>
    <row r="22" spans="1:6" ht="22.5" customHeight="1">
      <c r="A22" s="67" t="s">
        <v>65</v>
      </c>
      <c r="B22" s="12">
        <v>656</v>
      </c>
      <c r="C22" s="12">
        <v>550</v>
      </c>
      <c r="D22" s="50">
        <f>表2[[#This Row],[金额]]-表2[[#This Row],[成本]]</f>
        <v>106</v>
      </c>
      <c r="E22" s="68">
        <v>46007</v>
      </c>
      <c r="F22" s="67" t="s">
        <v>54</v>
      </c>
    </row>
    <row r="23" spans="1:6" ht="22.5" customHeight="1">
      <c r="A23" s="67" t="s">
        <v>66</v>
      </c>
      <c r="B23" s="12">
        <v>600</v>
      </c>
      <c r="C23" s="12">
        <v>500</v>
      </c>
      <c r="D23" s="50">
        <f>表2[[#This Row],[金额]]-表2[[#This Row],[成本]]</f>
        <v>100</v>
      </c>
      <c r="E23" s="13">
        <v>46007</v>
      </c>
      <c r="F23" s="67" t="s">
        <v>54</v>
      </c>
    </row>
    <row r="24" spans="1:6" ht="22.5" customHeight="1">
      <c r="A24" s="67" t="s">
        <v>53</v>
      </c>
      <c r="B24" s="12">
        <v>15</v>
      </c>
      <c r="C24" s="12">
        <v>2</v>
      </c>
      <c r="D24" s="50">
        <f>表2[[#This Row],[金额]]-表2[[#This Row],[成本]]</f>
        <v>13</v>
      </c>
      <c r="E24" s="13">
        <v>46007</v>
      </c>
      <c r="F24" s="67" t="s">
        <v>54</v>
      </c>
    </row>
    <row r="25" spans="1:6" ht="22.5" customHeight="1">
      <c r="A25" s="67" t="s">
        <v>53</v>
      </c>
      <c r="B25" s="12">
        <v>15</v>
      </c>
      <c r="C25" s="12">
        <v>2</v>
      </c>
      <c r="D25" s="50">
        <f>表2[[#This Row],[金额]]-表2[[#This Row],[成本]]</f>
        <v>13</v>
      </c>
      <c r="E25" s="13">
        <v>46007</v>
      </c>
      <c r="F25" s="67" t="s">
        <v>54</v>
      </c>
    </row>
    <row r="26" spans="1:6" ht="22.5" customHeight="1">
      <c r="A26" s="67" t="s">
        <v>53</v>
      </c>
      <c r="B26" s="12">
        <v>15</v>
      </c>
      <c r="C26" s="12">
        <v>2</v>
      </c>
      <c r="D26" s="50">
        <f>表2[[#This Row],[金额]]-表2[[#This Row],[成本]]</f>
        <v>13</v>
      </c>
      <c r="E26" s="13">
        <v>46007</v>
      </c>
      <c r="F26" s="67" t="s">
        <v>54</v>
      </c>
    </row>
    <row r="27" spans="1:6" ht="22.5" customHeight="1">
      <c r="A27" s="67" t="s">
        <v>67</v>
      </c>
      <c r="B27" s="12">
        <v>350</v>
      </c>
      <c r="C27" s="12">
        <v>950</v>
      </c>
      <c r="D27" s="50">
        <f>表2[[#This Row],[金额]]-表2[[#This Row],[成本]]</f>
        <v>-600</v>
      </c>
      <c r="E27" s="68">
        <v>46008</v>
      </c>
      <c r="F27" s="67" t="s">
        <v>54</v>
      </c>
    </row>
    <row r="28" spans="1:6" ht="22.5" customHeight="1">
      <c r="A28" s="67" t="s">
        <v>68</v>
      </c>
      <c r="B28" s="12">
        <v>800</v>
      </c>
      <c r="C28" s="12">
        <v>600</v>
      </c>
      <c r="D28" s="50">
        <f>表2[[#This Row],[金额]]-表2[[#This Row],[成本]]</f>
        <v>200</v>
      </c>
      <c r="E28" s="68">
        <v>46008</v>
      </c>
      <c r="F28" s="67" t="s">
        <v>54</v>
      </c>
    </row>
    <row r="29" spans="1:6" ht="22.5" customHeight="1">
      <c r="A29" s="67" t="s">
        <v>69</v>
      </c>
      <c r="B29" s="12">
        <v>1750</v>
      </c>
      <c r="C29" s="12">
        <v>1650</v>
      </c>
      <c r="D29" s="50">
        <f>表2[[#This Row],[金额]]-表2[[#This Row],[成本]]</f>
        <v>100</v>
      </c>
      <c r="E29" s="68">
        <v>46008</v>
      </c>
      <c r="F29" s="67" t="s">
        <v>54</v>
      </c>
    </row>
    <row r="30" spans="1:6" ht="22.5" customHeight="1">
      <c r="A30" s="67" t="s">
        <v>53</v>
      </c>
      <c r="B30" s="12">
        <v>5</v>
      </c>
      <c r="C30" s="12">
        <v>2</v>
      </c>
      <c r="D30" s="50">
        <f>表2[[#This Row],[金额]]-表2[[#This Row],[成本]]</f>
        <v>3</v>
      </c>
      <c r="E30" s="13">
        <v>46008</v>
      </c>
      <c r="F30" s="67" t="s">
        <v>54</v>
      </c>
    </row>
    <row r="31" spans="1:6" ht="22.5" customHeight="1">
      <c r="A31" s="67" t="s">
        <v>70</v>
      </c>
      <c r="B31" s="12">
        <v>550</v>
      </c>
      <c r="C31" s="12">
        <v>450</v>
      </c>
      <c r="D31" s="50">
        <f>表2[[#This Row],[金额]]-表2[[#This Row],[成本]]</f>
        <v>100</v>
      </c>
      <c r="E31" s="13">
        <v>46008</v>
      </c>
      <c r="F31" s="67" t="s">
        <v>54</v>
      </c>
    </row>
    <row r="32" spans="1:6" ht="22.5" customHeight="1">
      <c r="A32" s="67" t="s">
        <v>71</v>
      </c>
      <c r="B32" s="12">
        <v>400</v>
      </c>
      <c r="C32" s="12">
        <v>300</v>
      </c>
      <c r="D32" s="50">
        <f>表2[[#This Row],[金额]]-表2[[#This Row],[成本]]</f>
        <v>100</v>
      </c>
      <c r="E32" s="68">
        <v>46008</v>
      </c>
      <c r="F32" s="67" t="s">
        <v>54</v>
      </c>
    </row>
    <row r="33" spans="1:6" ht="22.5" customHeight="1">
      <c r="A33" s="67" t="s">
        <v>72</v>
      </c>
      <c r="B33" s="12">
        <v>500</v>
      </c>
      <c r="C33" s="12">
        <v>400</v>
      </c>
      <c r="D33" s="50">
        <f>表2[[#This Row],[金额]]-表2[[#This Row],[成本]]</f>
        <v>100</v>
      </c>
      <c r="E33" s="13">
        <v>46008</v>
      </c>
      <c r="F33" s="67" t="s">
        <v>54</v>
      </c>
    </row>
    <row r="34" spans="1:6" ht="22.5" customHeight="1">
      <c r="A34" s="67" t="s">
        <v>73</v>
      </c>
      <c r="B34" s="12">
        <v>1150</v>
      </c>
      <c r="C34" s="12">
        <v>1050</v>
      </c>
      <c r="D34" s="50">
        <f>表2[[#This Row],[金额]]-表2[[#This Row],[成本]]</f>
        <v>100</v>
      </c>
      <c r="E34" s="13">
        <v>46008</v>
      </c>
      <c r="F34" s="67" t="s">
        <v>54</v>
      </c>
    </row>
    <row r="35" spans="1:6" ht="22.5" customHeight="1">
      <c r="A35" s="67" t="s">
        <v>74</v>
      </c>
      <c r="B35" s="12">
        <v>300</v>
      </c>
      <c r="C35" s="12">
        <v>170</v>
      </c>
      <c r="D35" s="50">
        <f>表2[[#This Row],[金额]]-表2[[#This Row],[成本]]</f>
        <v>130</v>
      </c>
      <c r="E35" s="13">
        <v>46008</v>
      </c>
      <c r="F35" s="67" t="s">
        <v>54</v>
      </c>
    </row>
    <row r="36" spans="1:6" ht="22.5" customHeight="1">
      <c r="A36" s="67" t="s">
        <v>75</v>
      </c>
      <c r="B36" s="12">
        <v>150</v>
      </c>
      <c r="C36" s="12">
        <v>0</v>
      </c>
      <c r="D36" s="50">
        <f>表2[[#This Row],[金额]]-表2[[#This Row],[成本]]</f>
        <v>150</v>
      </c>
      <c r="E36" s="13">
        <v>46008</v>
      </c>
      <c r="F36" s="67" t="s">
        <v>54</v>
      </c>
    </row>
    <row r="37" spans="1:6" ht="22.5" customHeight="1">
      <c r="A37" s="67" t="s">
        <v>76</v>
      </c>
      <c r="B37" s="12">
        <v>350</v>
      </c>
      <c r="C37" s="12">
        <v>160</v>
      </c>
      <c r="D37" s="50">
        <f>表2[[#This Row],[金额]]-表2[[#This Row],[成本]]</f>
        <v>190</v>
      </c>
      <c r="E37" s="13">
        <v>46009</v>
      </c>
      <c r="F37" s="67" t="s">
        <v>54</v>
      </c>
    </row>
    <row r="38" spans="1:6" ht="22.5" customHeight="1">
      <c r="A38" s="67" t="s">
        <v>63</v>
      </c>
      <c r="B38" s="12">
        <v>25</v>
      </c>
      <c r="C38" s="12">
        <v>12</v>
      </c>
      <c r="D38" s="50">
        <f>表2[[#This Row],[金额]]-表2[[#This Row],[成本]]</f>
        <v>13</v>
      </c>
      <c r="E38" s="13">
        <v>46010</v>
      </c>
      <c r="F38" s="67" t="s">
        <v>54</v>
      </c>
    </row>
    <row r="39" spans="1:6" ht="22.5" customHeight="1">
      <c r="A39" s="67" t="s">
        <v>77</v>
      </c>
      <c r="B39" s="12">
        <v>15230</v>
      </c>
      <c r="C39" s="12">
        <v>15000</v>
      </c>
      <c r="D39" s="50">
        <f>表2[[#This Row],[金额]]-表2[[#This Row],[成本]]</f>
        <v>230</v>
      </c>
      <c r="E39" s="13">
        <v>46010</v>
      </c>
      <c r="F39" s="67" t="s">
        <v>54</v>
      </c>
    </row>
    <row r="40" spans="1:6" ht="22.5" customHeight="1">
      <c r="A40" s="67" t="s">
        <v>60</v>
      </c>
      <c r="B40" s="12">
        <v>20</v>
      </c>
      <c r="C40" s="12">
        <v>4</v>
      </c>
      <c r="D40" s="50">
        <f>表2[[#This Row],[金额]]-表2[[#This Row],[成本]]</f>
        <v>16</v>
      </c>
      <c r="E40" s="13">
        <v>46011</v>
      </c>
      <c r="F40" s="67" t="s">
        <v>54</v>
      </c>
    </row>
    <row r="41" spans="1:6" ht="22.5" customHeight="1">
      <c r="A41" s="67" t="s">
        <v>78</v>
      </c>
      <c r="B41" s="12">
        <v>4400</v>
      </c>
      <c r="C41" s="12">
        <v>4300</v>
      </c>
      <c r="D41" s="50">
        <f>表2[[#This Row],[金额]]-表2[[#This Row],[成本]]</f>
        <v>100</v>
      </c>
      <c r="E41" s="13">
        <v>46011</v>
      </c>
      <c r="F41" s="67" t="s">
        <v>54</v>
      </c>
    </row>
    <row r="42" spans="1:6" ht="22.5" customHeight="1">
      <c r="A42" s="67" t="s">
        <v>79</v>
      </c>
      <c r="B42" s="12">
        <v>2800</v>
      </c>
      <c r="C42" s="12">
        <v>2700</v>
      </c>
      <c r="D42" s="50">
        <f>表2[[#This Row],[金额]]-表2[[#This Row],[成本]]</f>
        <v>100</v>
      </c>
      <c r="E42" s="13">
        <v>46011</v>
      </c>
      <c r="F42" s="67" t="s">
        <v>54</v>
      </c>
    </row>
    <row r="43" spans="1:6" ht="22.5" customHeight="1">
      <c r="A43" s="67" t="s">
        <v>80</v>
      </c>
      <c r="B43" s="12">
        <v>9760</v>
      </c>
      <c r="C43" s="12">
        <v>9600</v>
      </c>
      <c r="D43" s="50">
        <f>表2[[#This Row],[金额]]-表2[[#This Row],[成本]]</f>
        <v>160</v>
      </c>
      <c r="E43" s="13">
        <v>46011</v>
      </c>
      <c r="F43" s="67" t="s">
        <v>54</v>
      </c>
    </row>
    <row r="44" spans="1:6" ht="22.5" customHeight="1">
      <c r="A44" s="67" t="s">
        <v>64</v>
      </c>
      <c r="B44" s="12">
        <v>127</v>
      </c>
      <c r="C44" s="12">
        <v>90</v>
      </c>
      <c r="D44" s="50">
        <f>表2[[#This Row],[金额]]-表2[[#This Row],[成本]]</f>
        <v>37</v>
      </c>
      <c r="E44" s="13">
        <v>46012</v>
      </c>
      <c r="F44" s="67" t="s">
        <v>54</v>
      </c>
    </row>
    <row r="45" spans="1:6" ht="22.5" customHeight="1">
      <c r="A45" s="67" t="s">
        <v>81</v>
      </c>
      <c r="B45" s="12">
        <v>350</v>
      </c>
      <c r="C45" s="12">
        <v>170</v>
      </c>
      <c r="D45" s="50">
        <f>表2[[#This Row],[金额]]-表2[[#This Row],[成本]]</f>
        <v>180</v>
      </c>
      <c r="E45" s="13">
        <v>46013</v>
      </c>
      <c r="F45" s="67" t="s">
        <v>54</v>
      </c>
    </row>
    <row r="46" spans="1:6" ht="22.5" customHeight="1">
      <c r="A46" s="67" t="s">
        <v>53</v>
      </c>
      <c r="B46" s="12">
        <v>20</v>
      </c>
      <c r="C46" s="12">
        <v>3.3</v>
      </c>
      <c r="D46" s="50">
        <f>表2[[#This Row],[金额]]-表2[[#This Row],[成本]]</f>
        <v>16.7</v>
      </c>
      <c r="E46" s="13">
        <v>46013</v>
      </c>
      <c r="F46" s="67" t="s">
        <v>54</v>
      </c>
    </row>
    <row r="47" spans="1:6" ht="22.5" customHeight="1">
      <c r="A47" s="67" t="s">
        <v>82</v>
      </c>
      <c r="B47" s="12">
        <v>550</v>
      </c>
      <c r="C47" s="12">
        <v>350</v>
      </c>
      <c r="D47" s="50">
        <f>表2[[#This Row],[金额]]-表2[[#This Row],[成本]]</f>
        <v>200</v>
      </c>
      <c r="E47" s="13">
        <v>46014</v>
      </c>
      <c r="F47" s="67" t="s">
        <v>54</v>
      </c>
    </row>
    <row r="48" spans="1:6" ht="22.5" customHeight="1">
      <c r="A48" s="67" t="s">
        <v>83</v>
      </c>
      <c r="B48" s="12">
        <v>5280</v>
      </c>
      <c r="C48" s="12">
        <v>5180</v>
      </c>
      <c r="D48" s="50">
        <f>表2[[#This Row],[金额]]-表2[[#This Row],[成本]]</f>
        <v>100</v>
      </c>
      <c r="E48" s="13">
        <v>46015</v>
      </c>
      <c r="F48" s="67" t="s">
        <v>54</v>
      </c>
    </row>
    <row r="49" spans="1:6" ht="22.5" customHeight="1">
      <c r="A49" s="67" t="s">
        <v>60</v>
      </c>
      <c r="B49" s="12">
        <v>20</v>
      </c>
      <c r="C49" s="12">
        <v>4</v>
      </c>
      <c r="D49" s="50">
        <f>表2[[#This Row],[金额]]-表2[[#This Row],[成本]]</f>
        <v>16</v>
      </c>
      <c r="E49" s="13">
        <v>46015</v>
      </c>
      <c r="F49" s="67" t="s">
        <v>54</v>
      </c>
    </row>
    <row r="50" spans="1:6" ht="22.5" customHeight="1">
      <c r="A50" s="67" t="s">
        <v>53</v>
      </c>
      <c r="B50" s="12">
        <v>15</v>
      </c>
      <c r="C50" s="12">
        <v>2</v>
      </c>
      <c r="D50" s="50">
        <f>表2[[#This Row],[金额]]-表2[[#This Row],[成本]]</f>
        <v>13</v>
      </c>
      <c r="E50" s="13">
        <v>46015</v>
      </c>
      <c r="F50" s="67" t="s">
        <v>54</v>
      </c>
    </row>
    <row r="51" spans="1:6" ht="22.5" customHeight="1">
      <c r="A51" s="67" t="s">
        <v>84</v>
      </c>
      <c r="B51" s="12">
        <v>300</v>
      </c>
      <c r="C51" s="12">
        <v>120</v>
      </c>
      <c r="D51" s="50">
        <f>表2[[#This Row],[金额]]-表2[[#This Row],[成本]]</f>
        <v>180</v>
      </c>
      <c r="E51" s="13">
        <v>46015</v>
      </c>
      <c r="F51" s="67" t="s">
        <v>54</v>
      </c>
    </row>
    <row r="52" spans="1:6" ht="22.5" customHeight="1">
      <c r="A52" s="67" t="s">
        <v>85</v>
      </c>
      <c r="B52" s="12">
        <f>(280+180)</f>
        <v>460</v>
      </c>
      <c r="C52" s="12">
        <f>(130+68+30)</f>
        <v>228</v>
      </c>
      <c r="D52" s="50">
        <f>表2[[#This Row],[金额]]-表2[[#This Row],[成本]]</f>
        <v>232</v>
      </c>
      <c r="E52" s="13">
        <v>46015</v>
      </c>
      <c r="F52" s="67" t="s">
        <v>54</v>
      </c>
    </row>
    <row r="53" spans="1:6" ht="22.5" customHeight="1">
      <c r="A53" s="67" t="s">
        <v>53</v>
      </c>
      <c r="B53" s="12">
        <v>30</v>
      </c>
      <c r="C53" s="12">
        <v>4</v>
      </c>
      <c r="D53" s="50">
        <f>表2[[#This Row],[金额]]-表2[[#This Row],[成本]]</f>
        <v>26</v>
      </c>
      <c r="E53" s="13">
        <v>46015</v>
      </c>
      <c r="F53" s="67" t="s">
        <v>54</v>
      </c>
    </row>
    <row r="54" spans="1:6" ht="22.5" customHeight="1">
      <c r="A54" s="67" t="s">
        <v>53</v>
      </c>
      <c r="B54" s="12">
        <v>10</v>
      </c>
      <c r="C54" s="12">
        <v>2</v>
      </c>
      <c r="D54" s="50">
        <f>表2[[#This Row],[金额]]-表2[[#This Row],[成本]]</f>
        <v>8</v>
      </c>
      <c r="E54" s="13">
        <v>46016</v>
      </c>
      <c r="F54" s="67" t="s">
        <v>54</v>
      </c>
    </row>
    <row r="55" spans="1:6" ht="22.5" customHeight="1">
      <c r="A55" s="67" t="s">
        <v>53</v>
      </c>
      <c r="B55" s="12">
        <v>10</v>
      </c>
      <c r="C55" s="12">
        <v>2</v>
      </c>
      <c r="D55" s="50">
        <f>表2[[#This Row],[金额]]-表2[[#This Row],[成本]]</f>
        <v>8</v>
      </c>
      <c r="E55" s="13">
        <v>46016</v>
      </c>
      <c r="F55" s="67" t="s">
        <v>54</v>
      </c>
    </row>
    <row r="56" spans="1:6" ht="22.5" customHeight="1">
      <c r="A56" s="67" t="s">
        <v>53</v>
      </c>
      <c r="B56" s="12">
        <v>15</v>
      </c>
      <c r="C56" s="12">
        <v>2</v>
      </c>
      <c r="D56" s="50">
        <f>表2[[#This Row],[金额]]-表2[[#This Row],[成本]]</f>
        <v>13</v>
      </c>
      <c r="E56" s="13">
        <v>46016</v>
      </c>
      <c r="F56" s="67" t="s">
        <v>54</v>
      </c>
    </row>
    <row r="57" spans="1:6" ht="22.5" customHeight="1">
      <c r="A57" s="67" t="s">
        <v>53</v>
      </c>
      <c r="B57" s="12">
        <v>10</v>
      </c>
      <c r="C57" s="12">
        <v>2</v>
      </c>
      <c r="D57" s="50">
        <f>表2[[#This Row],[金额]]-表2[[#This Row],[成本]]</f>
        <v>8</v>
      </c>
      <c r="E57" s="13">
        <v>46016</v>
      </c>
      <c r="F57" s="67" t="s">
        <v>54</v>
      </c>
    </row>
    <row r="58" spans="1:6" ht="22.5" customHeight="1">
      <c r="A58" s="67" t="s">
        <v>86</v>
      </c>
      <c r="B58" s="12">
        <v>2100</v>
      </c>
      <c r="C58" s="12">
        <f>(2000+32.9+12.6)</f>
        <v>2045.5</v>
      </c>
      <c r="D58" s="50">
        <f>表2[[#This Row],[金额]]-表2[[#This Row],[成本]]</f>
        <v>54.5</v>
      </c>
      <c r="E58" s="13">
        <v>46017</v>
      </c>
      <c r="F58" s="67" t="s">
        <v>54</v>
      </c>
    </row>
    <row r="59" spans="1:6" ht="22.5" customHeight="1">
      <c r="A59" s="67" t="s">
        <v>53</v>
      </c>
      <c r="B59" s="12">
        <v>15</v>
      </c>
      <c r="C59" s="12">
        <v>2</v>
      </c>
      <c r="D59" s="50">
        <f>表2[[#This Row],[金额]]-表2[[#This Row],[成本]]</f>
        <v>13</v>
      </c>
      <c r="E59" s="13">
        <v>46018</v>
      </c>
      <c r="F59" s="67" t="s">
        <v>54</v>
      </c>
    </row>
    <row r="60" spans="1:6" ht="22.5" customHeight="1">
      <c r="A60" s="67" t="s">
        <v>87</v>
      </c>
      <c r="B60" s="12">
        <v>4850</v>
      </c>
      <c r="C60" s="12">
        <v>4750</v>
      </c>
      <c r="D60" s="50">
        <f>表2[[#This Row],[金额]]-表2[[#This Row],[成本]]</f>
        <v>100</v>
      </c>
      <c r="E60" s="13">
        <v>46020</v>
      </c>
      <c r="F60" s="67" t="s">
        <v>54</v>
      </c>
    </row>
    <row r="61" spans="1:6" ht="22.5" customHeight="1">
      <c r="A61" s="67" t="s">
        <v>88</v>
      </c>
      <c r="B61" s="12">
        <v>1084.92</v>
      </c>
      <c r="C61" s="12">
        <v>1000</v>
      </c>
      <c r="D61" s="50">
        <f>表2[[#This Row],[金额]]-表2[[#This Row],[成本]]</f>
        <v>84.920000000000073</v>
      </c>
      <c r="E61" s="13">
        <v>46020</v>
      </c>
      <c r="F61" s="67" t="s">
        <v>54</v>
      </c>
    </row>
    <row r="62" spans="1:6" ht="22.5" customHeight="1">
      <c r="A62" s="67" t="s">
        <v>53</v>
      </c>
      <c r="B62" s="12">
        <v>20</v>
      </c>
      <c r="C62" s="12">
        <v>4</v>
      </c>
      <c r="D62" s="50">
        <f>表2[[#This Row],[金额]]-表2[[#This Row],[成本]]</f>
        <v>16</v>
      </c>
      <c r="E62" s="13">
        <v>46022</v>
      </c>
      <c r="F62" s="67" t="s">
        <v>54</v>
      </c>
    </row>
    <row r="63" spans="1:6" ht="22.5" customHeight="1">
      <c r="A63" s="67" t="s">
        <v>71</v>
      </c>
      <c r="B63" s="12">
        <v>550</v>
      </c>
      <c r="C63" s="12">
        <v>300</v>
      </c>
      <c r="D63" s="50">
        <f>表2[[#This Row],[金额]]-表2[[#This Row],[成本]]</f>
        <v>250</v>
      </c>
      <c r="E63" s="13">
        <v>46022</v>
      </c>
      <c r="F63" s="67" t="s">
        <v>54</v>
      </c>
    </row>
    <row r="64" spans="1:6" ht="22.5" customHeight="1">
      <c r="A64" s="67" t="s">
        <v>53</v>
      </c>
      <c r="B64" s="12">
        <v>15</v>
      </c>
      <c r="C64" s="12">
        <v>2</v>
      </c>
      <c r="D64" s="50">
        <f>表2[[#This Row],[金额]]-表2[[#This Row],[成本]]</f>
        <v>13</v>
      </c>
      <c r="E64" s="13">
        <v>46022</v>
      </c>
      <c r="F64" s="67" t="s">
        <v>54</v>
      </c>
    </row>
    <row r="65" spans="1:6" ht="22.5" customHeight="1">
      <c r="A65" s="67" t="s">
        <v>89</v>
      </c>
      <c r="B65" s="12">
        <v>20</v>
      </c>
      <c r="C65" s="12">
        <v>6</v>
      </c>
      <c r="D65" s="50">
        <f>表2[[#This Row],[金额]]-表2[[#This Row],[成本]]</f>
        <v>14</v>
      </c>
      <c r="E65" s="13">
        <v>46022</v>
      </c>
      <c r="F65" s="67" t="s">
        <v>54</v>
      </c>
    </row>
    <row r="66" spans="1:6" ht="22.5" customHeight="1">
      <c r="A66" s="67" t="s">
        <v>90</v>
      </c>
      <c r="B66" s="12">
        <v>150</v>
      </c>
      <c r="C66" s="12">
        <v>50</v>
      </c>
      <c r="D66" s="50">
        <f>表2[[#This Row],[金额]]-表2[[#This Row],[成本]]</f>
        <v>100</v>
      </c>
      <c r="E66" s="13">
        <v>46023</v>
      </c>
      <c r="F66" s="37" t="s">
        <v>54</v>
      </c>
    </row>
    <row r="67" spans="1:6" ht="22.5" customHeight="1">
      <c r="A67" s="67" t="s">
        <v>91</v>
      </c>
      <c r="B67" s="12">
        <v>200</v>
      </c>
      <c r="C67" s="12">
        <v>75</v>
      </c>
      <c r="D67" s="50">
        <f>表2[[#This Row],[金额]]-表2[[#This Row],[成本]]</f>
        <v>125</v>
      </c>
      <c r="E67" s="13">
        <v>46024</v>
      </c>
      <c r="F67" s="37" t="s">
        <v>54</v>
      </c>
    </row>
    <row r="68" spans="1:6" ht="22.5" customHeight="1">
      <c r="A68" s="67" t="s">
        <v>53</v>
      </c>
      <c r="B68" s="12">
        <v>15</v>
      </c>
      <c r="C68" s="12">
        <v>2</v>
      </c>
      <c r="D68" s="50">
        <f>表2[[#This Row],[金额]]-表2[[#This Row],[成本]]</f>
        <v>13</v>
      </c>
      <c r="E68" s="13">
        <v>46024</v>
      </c>
      <c r="F68" s="67" t="s">
        <v>54</v>
      </c>
    </row>
    <row r="69" spans="1:6" ht="22.5" customHeight="1">
      <c r="A69" s="67" t="s">
        <v>53</v>
      </c>
      <c r="B69" s="12">
        <v>10</v>
      </c>
      <c r="C69" s="12">
        <v>2</v>
      </c>
      <c r="D69" s="50">
        <f>表2[[#This Row],[金额]]-表2[[#This Row],[成本]]</f>
        <v>8</v>
      </c>
      <c r="E69" s="13">
        <v>46024</v>
      </c>
      <c r="F69" s="67" t="s">
        <v>54</v>
      </c>
    </row>
    <row r="70" spans="1:6" ht="22.5" customHeight="1">
      <c r="A70" s="67" t="s">
        <v>92</v>
      </c>
      <c r="B70" s="12">
        <v>20</v>
      </c>
      <c r="C70" s="12">
        <v>0</v>
      </c>
      <c r="D70" s="50">
        <f>表2[[#This Row],[金额]]-表2[[#This Row],[成本]]</f>
        <v>20</v>
      </c>
      <c r="E70" s="13">
        <v>46024</v>
      </c>
      <c r="F70" s="67" t="s">
        <v>54</v>
      </c>
    </row>
    <row r="71" spans="1:6" ht="22.5" customHeight="1">
      <c r="A71" s="67" t="s">
        <v>53</v>
      </c>
      <c r="B71" s="12">
        <v>15</v>
      </c>
      <c r="C71" s="12">
        <v>2</v>
      </c>
      <c r="D71" s="50">
        <f>表2[[#This Row],[金额]]-表2[[#This Row],[成本]]</f>
        <v>13</v>
      </c>
      <c r="E71" s="13">
        <v>46025</v>
      </c>
      <c r="F71" s="67" t="s">
        <v>54</v>
      </c>
    </row>
    <row r="72" spans="1:6" ht="22.5" customHeight="1">
      <c r="A72" s="67" t="s">
        <v>53</v>
      </c>
      <c r="B72" s="12">
        <v>15</v>
      </c>
      <c r="C72" s="12">
        <v>2</v>
      </c>
      <c r="D72" s="50">
        <f>表2[[#This Row],[金额]]-表2[[#This Row],[成本]]</f>
        <v>13</v>
      </c>
      <c r="E72" s="13">
        <v>46025</v>
      </c>
      <c r="F72" s="67" t="s">
        <v>54</v>
      </c>
    </row>
    <row r="73" spans="1:6" ht="22.5" customHeight="1">
      <c r="A73" s="67" t="s">
        <v>53</v>
      </c>
      <c r="B73" s="12">
        <v>20</v>
      </c>
      <c r="C73" s="12">
        <v>4</v>
      </c>
      <c r="D73" s="50">
        <f>表2[[#This Row],[金额]]-表2[[#This Row],[成本]]</f>
        <v>16</v>
      </c>
      <c r="E73" s="13">
        <v>46025</v>
      </c>
      <c r="F73" s="67" t="s">
        <v>54</v>
      </c>
    </row>
    <row r="74" spans="1:6" ht="22.5" customHeight="1">
      <c r="A74" s="67" t="s">
        <v>53</v>
      </c>
      <c r="B74" s="12">
        <v>15</v>
      </c>
      <c r="C74" s="12">
        <v>2</v>
      </c>
      <c r="D74" s="50">
        <f>表2[[#This Row],[金额]]-表2[[#This Row],[成本]]</f>
        <v>13</v>
      </c>
      <c r="E74" s="13">
        <v>46025</v>
      </c>
      <c r="F74" s="67" t="s">
        <v>54</v>
      </c>
    </row>
    <row r="75" spans="1:6" ht="22.5" customHeight="1">
      <c r="A75" s="67" t="s">
        <v>60</v>
      </c>
      <c r="B75" s="12">
        <v>40</v>
      </c>
      <c r="C75" s="12">
        <f>(4*2)</f>
        <v>8</v>
      </c>
      <c r="D75" s="50">
        <f>表2[[#This Row],[金额]]-表2[[#This Row],[成本]]</f>
        <v>32</v>
      </c>
      <c r="E75" s="13">
        <v>46026</v>
      </c>
      <c r="F75" s="67" t="s">
        <v>54</v>
      </c>
    </row>
    <row r="76" spans="1:6" ht="22.5" customHeight="1">
      <c r="A76" s="67" t="s">
        <v>93</v>
      </c>
      <c r="B76" s="12">
        <f>(5550+150)</f>
        <v>5700</v>
      </c>
      <c r="C76" s="12">
        <v>5550</v>
      </c>
      <c r="D76" s="50">
        <f>表2[[#This Row],[金额]]-表2[[#This Row],[成本]]</f>
        <v>150</v>
      </c>
      <c r="E76" s="13">
        <v>46026</v>
      </c>
      <c r="F76" s="67" t="s">
        <v>54</v>
      </c>
    </row>
    <row r="77" spans="1:6" ht="22.5" customHeight="1">
      <c r="A77" s="67" t="s">
        <v>94</v>
      </c>
      <c r="B77" s="12">
        <v>1400</v>
      </c>
      <c r="C77" s="12">
        <v>1300</v>
      </c>
      <c r="D77" s="50">
        <f>表2[[#This Row],[金额]]-表2[[#This Row],[成本]]</f>
        <v>100</v>
      </c>
      <c r="E77" s="13">
        <v>46026</v>
      </c>
      <c r="F77" s="67" t="s">
        <v>54</v>
      </c>
    </row>
    <row r="78" spans="1:6" ht="22.5" customHeight="1">
      <c r="A78" s="67" t="s">
        <v>95</v>
      </c>
      <c r="B78" s="12">
        <v>500</v>
      </c>
      <c r="C78" s="12">
        <v>400</v>
      </c>
      <c r="D78" s="50">
        <f>表2[[#This Row],[金额]]-表2[[#This Row],[成本]]</f>
        <v>100</v>
      </c>
      <c r="E78" s="13">
        <v>46026</v>
      </c>
      <c r="F78" s="37" t="s">
        <v>54</v>
      </c>
    </row>
    <row r="79" spans="1:6" ht="22.5" customHeight="1">
      <c r="A79" s="67" t="s">
        <v>96</v>
      </c>
      <c r="B79" s="12">
        <v>900</v>
      </c>
      <c r="C79" s="12">
        <v>800</v>
      </c>
      <c r="D79" s="50">
        <f>表2[[#This Row],[金额]]-表2[[#This Row],[成本]]</f>
        <v>100</v>
      </c>
      <c r="E79" s="13">
        <v>46026</v>
      </c>
      <c r="F79" s="37" t="s">
        <v>54</v>
      </c>
    </row>
    <row r="80" spans="1:6" ht="22.5" customHeight="1">
      <c r="A80" s="67" t="s">
        <v>53</v>
      </c>
      <c r="B80" s="12">
        <v>20</v>
      </c>
      <c r="C80" s="12">
        <v>4</v>
      </c>
      <c r="D80" s="50">
        <f>表2[[#This Row],[金额]]-表2[[#This Row],[成本]]</f>
        <v>16</v>
      </c>
      <c r="E80" s="13">
        <v>46027</v>
      </c>
      <c r="F80" s="67" t="s">
        <v>54</v>
      </c>
    </row>
    <row r="81" spans="1:6" ht="22.5" customHeight="1">
      <c r="A81" s="67" t="s">
        <v>97</v>
      </c>
      <c r="B81" s="12">
        <v>120</v>
      </c>
      <c r="C81" s="12">
        <v>0</v>
      </c>
      <c r="D81" s="50">
        <f>表2[[#This Row],[金额]]-表2[[#This Row],[成本]]</f>
        <v>120</v>
      </c>
      <c r="E81" s="13">
        <v>46027</v>
      </c>
      <c r="F81" s="67" t="s">
        <v>54</v>
      </c>
    </row>
    <row r="82" spans="1:6" ht="22.5" customHeight="1">
      <c r="A82" s="67" t="s">
        <v>56</v>
      </c>
      <c r="B82" s="12">
        <v>200</v>
      </c>
      <c r="C82" s="12">
        <v>200</v>
      </c>
      <c r="D82" s="50">
        <f>表2[[#This Row],[金额]]-表2[[#This Row],[成本]]</f>
        <v>0</v>
      </c>
      <c r="E82" s="13">
        <v>46028</v>
      </c>
      <c r="F82" s="67" t="s">
        <v>54</v>
      </c>
    </row>
    <row r="83" spans="1:6" ht="22.5" customHeight="1">
      <c r="A83" s="67" t="s">
        <v>98</v>
      </c>
      <c r="B83" s="12">
        <v>300</v>
      </c>
      <c r="C83" s="12">
        <v>200</v>
      </c>
      <c r="D83" s="50">
        <f>表2[[#This Row],[金额]]-表2[[#This Row],[成本]]</f>
        <v>100</v>
      </c>
      <c r="E83" s="13">
        <v>46029</v>
      </c>
      <c r="F83" s="67" t="s">
        <v>54</v>
      </c>
    </row>
    <row r="84" spans="1:6" ht="22.5" customHeight="1">
      <c r="A84" s="67" t="s">
        <v>99</v>
      </c>
      <c r="B84" s="12">
        <v>900</v>
      </c>
      <c r="C84" s="12">
        <v>800</v>
      </c>
      <c r="D84" s="50">
        <f>表2[[#This Row],[金额]]-表2[[#This Row],[成本]]</f>
        <v>100</v>
      </c>
      <c r="E84" s="13">
        <v>46029</v>
      </c>
      <c r="F84" s="67" t="s">
        <v>54</v>
      </c>
    </row>
    <row r="85" spans="1:6" ht="22.5" customHeight="1">
      <c r="A85" s="67" t="s">
        <v>53</v>
      </c>
      <c r="B85" s="12">
        <v>15</v>
      </c>
      <c r="C85" s="12">
        <v>2</v>
      </c>
      <c r="D85" s="50">
        <f>表2[[#This Row],[金额]]-表2[[#This Row],[成本]]</f>
        <v>13</v>
      </c>
      <c r="E85" s="13">
        <v>46030</v>
      </c>
      <c r="F85" s="67" t="s">
        <v>54</v>
      </c>
    </row>
    <row r="86" spans="1:6" ht="22.5" customHeight="1">
      <c r="A86" s="67" t="s">
        <v>100</v>
      </c>
      <c r="B86" s="12">
        <v>450</v>
      </c>
      <c r="C86" s="12">
        <v>380</v>
      </c>
      <c r="D86" s="50">
        <f>表2[[#This Row],[金额]]-表2[[#This Row],[成本]]</f>
        <v>70</v>
      </c>
      <c r="E86" s="13">
        <v>46031</v>
      </c>
      <c r="F86" s="67" t="s">
        <v>54</v>
      </c>
    </row>
    <row r="87" spans="1:6" ht="22.5" customHeight="1">
      <c r="A87" s="67" t="s">
        <v>63</v>
      </c>
      <c r="B87" s="12">
        <v>40</v>
      </c>
      <c r="C87" s="12">
        <v>12</v>
      </c>
      <c r="D87" s="50">
        <f>表2[[#This Row],[金额]]-表2[[#This Row],[成本]]</f>
        <v>28</v>
      </c>
      <c r="E87" s="13">
        <v>46032</v>
      </c>
      <c r="F87" s="67" t="s">
        <v>54</v>
      </c>
    </row>
    <row r="88" spans="1:6" ht="22.5" customHeight="1">
      <c r="A88" s="67" t="s">
        <v>53</v>
      </c>
      <c r="B88" s="12">
        <v>10</v>
      </c>
      <c r="C88" s="12">
        <v>2</v>
      </c>
      <c r="D88" s="50">
        <f>表2[[#This Row],[金额]]-表2[[#This Row],[成本]]</f>
        <v>8</v>
      </c>
      <c r="E88" s="13">
        <v>46032</v>
      </c>
      <c r="F88" s="67" t="s">
        <v>54</v>
      </c>
    </row>
    <row r="89" spans="1:6" ht="22.5" customHeight="1">
      <c r="A89" s="67" t="s">
        <v>101</v>
      </c>
      <c r="B89" s="12">
        <v>1300</v>
      </c>
      <c r="C89" s="12">
        <v>1150</v>
      </c>
      <c r="D89" s="50">
        <f>表2[[#This Row],[金额]]-表2[[#This Row],[成本]]</f>
        <v>150</v>
      </c>
      <c r="E89" s="13">
        <v>46033</v>
      </c>
      <c r="F89" s="67" t="s">
        <v>54</v>
      </c>
    </row>
    <row r="90" spans="1:6" ht="22.5" customHeight="1">
      <c r="A90" s="67" t="s">
        <v>102</v>
      </c>
      <c r="B90" s="12">
        <v>5250</v>
      </c>
      <c r="C90" s="12">
        <v>5100</v>
      </c>
      <c r="D90" s="50">
        <f>表2[[#This Row],[金额]]-表2[[#This Row],[成本]]</f>
        <v>150</v>
      </c>
      <c r="E90" s="13">
        <v>46033</v>
      </c>
      <c r="F90" s="67" t="s">
        <v>54</v>
      </c>
    </row>
    <row r="91" spans="1:6" ht="22.5" customHeight="1">
      <c r="A91" s="67" t="s">
        <v>103</v>
      </c>
      <c r="B91" s="12">
        <v>260</v>
      </c>
      <c r="C91" s="12">
        <v>140</v>
      </c>
      <c r="D91" s="50">
        <f>表2[[#This Row],[金额]]-表2[[#This Row],[成本]]</f>
        <v>120</v>
      </c>
      <c r="E91" s="13">
        <v>46033</v>
      </c>
      <c r="F91" s="67" t="s">
        <v>54</v>
      </c>
    </row>
    <row r="92" spans="1:6" ht="22.5" customHeight="1">
      <c r="A92" s="67" t="s">
        <v>104</v>
      </c>
      <c r="B92" s="12">
        <v>8050</v>
      </c>
      <c r="C92" s="12">
        <v>8050</v>
      </c>
      <c r="D92" s="50">
        <f>表2[[#This Row],[金额]]-表2[[#This Row],[成本]]</f>
        <v>0</v>
      </c>
      <c r="E92" s="13">
        <v>46033</v>
      </c>
      <c r="F92" s="67" t="s">
        <v>54</v>
      </c>
    </row>
    <row r="93" spans="1:6" ht="22.5" customHeight="1">
      <c r="A93" s="67" t="s">
        <v>105</v>
      </c>
      <c r="B93" s="12">
        <v>4800</v>
      </c>
      <c r="C93" s="12">
        <v>4500</v>
      </c>
      <c r="D93" s="50">
        <f>表2[[#This Row],[金额]]-表2[[#This Row],[成本]]</f>
        <v>300</v>
      </c>
      <c r="E93" s="13">
        <v>46033</v>
      </c>
      <c r="F93" s="67" t="s">
        <v>54</v>
      </c>
    </row>
    <row r="94" spans="1:6" ht="22.5" customHeight="1">
      <c r="A94" s="67" t="s">
        <v>78</v>
      </c>
      <c r="B94" s="12">
        <v>6800</v>
      </c>
      <c r="C94" s="12">
        <v>6650</v>
      </c>
      <c r="D94" s="50">
        <f>表2[[#This Row],[金额]]-表2[[#This Row],[成本]]</f>
        <v>150</v>
      </c>
      <c r="E94" s="13">
        <v>46033</v>
      </c>
      <c r="F94" s="67" t="s">
        <v>54</v>
      </c>
    </row>
    <row r="95" spans="1:6" ht="22.5" customHeight="1">
      <c r="A95" s="67" t="s">
        <v>106</v>
      </c>
      <c r="B95" s="12">
        <v>1675</v>
      </c>
      <c r="C95" s="12">
        <v>1600</v>
      </c>
      <c r="D95" s="50">
        <f>表2[[#This Row],[金额]]-表2[[#This Row],[成本]]</f>
        <v>75</v>
      </c>
      <c r="E95" s="13">
        <v>46034</v>
      </c>
      <c r="F95" s="37" t="s">
        <v>54</v>
      </c>
    </row>
    <row r="96" spans="1:6" ht="22.5" customHeight="1">
      <c r="A96" s="67" t="s">
        <v>107</v>
      </c>
      <c r="B96" s="12">
        <v>2500</v>
      </c>
      <c r="C96" s="12">
        <v>2400</v>
      </c>
      <c r="D96" s="50">
        <f>表2[[#This Row],[金额]]-表2[[#This Row],[成本]]</f>
        <v>100</v>
      </c>
      <c r="E96" s="13">
        <v>46034</v>
      </c>
      <c r="F96" s="67" t="s">
        <v>54</v>
      </c>
    </row>
    <row r="97" spans="1:6" ht="22.5" customHeight="1">
      <c r="A97" s="67" t="s">
        <v>108</v>
      </c>
      <c r="B97" s="12">
        <v>2265</v>
      </c>
      <c r="C97" s="12">
        <v>2100</v>
      </c>
      <c r="D97" s="50">
        <f>表2[[#This Row],[金额]]-表2[[#This Row],[成本]]</f>
        <v>165</v>
      </c>
      <c r="E97" s="13">
        <v>46036</v>
      </c>
      <c r="F97" s="67" t="s">
        <v>54</v>
      </c>
    </row>
    <row r="98" spans="1:6" ht="22.5" customHeight="1">
      <c r="A98" s="67" t="s">
        <v>109</v>
      </c>
      <c r="B98" s="12">
        <v>300</v>
      </c>
      <c r="C98" s="12">
        <v>0</v>
      </c>
      <c r="D98" s="50">
        <f>表2[[#This Row],[金额]]-表2[[#This Row],[成本]]</f>
        <v>300</v>
      </c>
      <c r="E98" s="13">
        <v>46038</v>
      </c>
      <c r="F98" s="67" t="s">
        <v>54</v>
      </c>
    </row>
    <row r="99" spans="1:6" ht="22.5" customHeight="1">
      <c r="A99" s="67" t="s">
        <v>110</v>
      </c>
      <c r="B99" s="12">
        <v>2800</v>
      </c>
      <c r="C99" s="12">
        <v>2645</v>
      </c>
      <c r="D99" s="50">
        <f>表2[[#This Row],[金额]]-表2[[#This Row],[成本]]</f>
        <v>155</v>
      </c>
      <c r="E99" s="13">
        <v>46038</v>
      </c>
      <c r="F99" s="67" t="s">
        <v>54</v>
      </c>
    </row>
    <row r="100" spans="1:6" ht="22.5" customHeight="1">
      <c r="A100" s="67" t="s">
        <v>53</v>
      </c>
      <c r="B100" s="12">
        <v>15</v>
      </c>
      <c r="C100" s="12">
        <v>2</v>
      </c>
      <c r="D100" s="50">
        <f>表2[[#This Row],[金额]]-表2[[#This Row],[成本]]</f>
        <v>13</v>
      </c>
      <c r="E100" s="13">
        <v>46038</v>
      </c>
      <c r="F100" s="67" t="s">
        <v>54</v>
      </c>
    </row>
    <row r="101" spans="1:6" ht="22.5" customHeight="1">
      <c r="A101" s="67" t="s">
        <v>111</v>
      </c>
      <c r="B101" s="12">
        <v>260</v>
      </c>
      <c r="C101" s="12">
        <v>83</v>
      </c>
      <c r="D101" s="50">
        <f>表2[[#This Row],[金额]]-表2[[#This Row],[成本]]</f>
        <v>177</v>
      </c>
      <c r="E101" s="13">
        <v>46038</v>
      </c>
      <c r="F101" s="67" t="s">
        <v>54</v>
      </c>
    </row>
    <row r="102" spans="1:6" ht="22.5" customHeight="1">
      <c r="A102" s="67" t="s">
        <v>112</v>
      </c>
      <c r="B102" s="12">
        <v>300</v>
      </c>
      <c r="C102" s="12">
        <v>130</v>
      </c>
      <c r="D102" s="50">
        <f>表2[[#This Row],[金额]]-表2[[#This Row],[成本]]</f>
        <v>170</v>
      </c>
      <c r="E102" s="13">
        <v>46040</v>
      </c>
      <c r="F102" s="67" t="s">
        <v>54</v>
      </c>
    </row>
    <row r="103" spans="1:6" ht="22.5" customHeight="1">
      <c r="A103" s="67" t="s">
        <v>60</v>
      </c>
      <c r="B103" s="12">
        <v>10</v>
      </c>
      <c r="C103" s="12">
        <v>4</v>
      </c>
      <c r="D103" s="50">
        <f>表2[[#This Row],[金额]]-表2[[#This Row],[成本]]</f>
        <v>6</v>
      </c>
      <c r="E103" s="13">
        <v>46040</v>
      </c>
      <c r="F103" s="67" t="s">
        <v>54</v>
      </c>
    </row>
    <row r="104" spans="1:6" ht="22.5" customHeight="1">
      <c r="A104" s="67" t="s">
        <v>53</v>
      </c>
      <c r="B104" s="12">
        <v>25</v>
      </c>
      <c r="C104" s="12">
        <v>4</v>
      </c>
      <c r="D104" s="50">
        <f>表2[[#This Row],[金额]]-表2[[#This Row],[成本]]</f>
        <v>21</v>
      </c>
      <c r="E104" s="13">
        <v>46040</v>
      </c>
      <c r="F104" s="67" t="s">
        <v>54</v>
      </c>
    </row>
    <row r="105" spans="1:6" ht="22.5" customHeight="1">
      <c r="A105" s="67" t="s">
        <v>113</v>
      </c>
      <c r="B105" s="12">
        <v>4550</v>
      </c>
      <c r="C105" s="12">
        <v>4420</v>
      </c>
      <c r="D105" s="50">
        <f>表2[[#This Row],[金额]]-表2[[#This Row],[成本]]</f>
        <v>130</v>
      </c>
      <c r="E105" s="13">
        <v>46041</v>
      </c>
      <c r="F105" s="67" t="s">
        <v>54</v>
      </c>
    </row>
    <row r="106" spans="1:6" ht="22.5" customHeight="1">
      <c r="A106" s="67" t="s">
        <v>114</v>
      </c>
      <c r="B106" s="12">
        <v>3800</v>
      </c>
      <c r="C106" s="12">
        <v>3700</v>
      </c>
      <c r="D106" s="50">
        <f>表2[[#This Row],[金额]]-表2[[#This Row],[成本]]</f>
        <v>100</v>
      </c>
      <c r="E106" s="13">
        <v>46041</v>
      </c>
      <c r="F106" s="67" t="s">
        <v>54</v>
      </c>
    </row>
    <row r="107" spans="1:6" ht="22.5" customHeight="1">
      <c r="A107" s="67" t="s">
        <v>56</v>
      </c>
      <c r="B107" s="12">
        <v>300</v>
      </c>
      <c r="C107" s="12">
        <v>300</v>
      </c>
      <c r="D107" s="50">
        <f>表2[[#This Row],[金额]]-表2[[#This Row],[成本]]</f>
        <v>0</v>
      </c>
      <c r="E107" s="13">
        <v>46043</v>
      </c>
      <c r="F107" s="67" t="s">
        <v>54</v>
      </c>
    </row>
    <row r="108" spans="1:6" ht="22.5" customHeight="1">
      <c r="A108" s="67" t="s">
        <v>115</v>
      </c>
      <c r="B108" s="12">
        <v>309</v>
      </c>
      <c r="C108" s="12">
        <v>300</v>
      </c>
      <c r="D108" s="50">
        <f>表2[[#This Row],[金额]]-表2[[#This Row],[成本]]</f>
        <v>9</v>
      </c>
      <c r="E108" s="13">
        <v>46043</v>
      </c>
      <c r="F108" s="67" t="s">
        <v>54</v>
      </c>
    </row>
    <row r="109" spans="1:6" ht="22.5" customHeight="1">
      <c r="A109" s="67" t="s">
        <v>116</v>
      </c>
      <c r="B109" s="12">
        <v>750</v>
      </c>
      <c r="C109" s="12">
        <v>600</v>
      </c>
      <c r="D109" s="50">
        <f>表2[[#This Row],[金额]]-表2[[#This Row],[成本]]</f>
        <v>150</v>
      </c>
      <c r="E109" s="13">
        <v>46044</v>
      </c>
      <c r="F109" s="67" t="s">
        <v>54</v>
      </c>
    </row>
    <row r="110" spans="1:6" ht="22.5" customHeight="1">
      <c r="A110" s="67" t="s">
        <v>60</v>
      </c>
      <c r="B110" s="12">
        <v>25</v>
      </c>
      <c r="C110" s="12">
        <v>4</v>
      </c>
      <c r="D110" s="50">
        <f>表2[[#This Row],[金额]]-表2[[#This Row],[成本]]</f>
        <v>21</v>
      </c>
      <c r="E110" s="13">
        <v>46044</v>
      </c>
      <c r="F110" s="67" t="s">
        <v>54</v>
      </c>
    </row>
    <row r="111" spans="1:6" ht="22.5" customHeight="1">
      <c r="A111" s="67" t="s">
        <v>117</v>
      </c>
      <c r="B111" s="12">
        <v>1600</v>
      </c>
      <c r="C111" s="12">
        <v>1600</v>
      </c>
      <c r="D111" s="50">
        <f>表2[[#This Row],[金额]]-表2[[#This Row],[成本]]</f>
        <v>0</v>
      </c>
      <c r="E111" s="13">
        <v>46044</v>
      </c>
      <c r="F111" s="67" t="s">
        <v>54</v>
      </c>
    </row>
    <row r="112" spans="1:6" ht="22.5" customHeight="1">
      <c r="A112" s="67" t="s">
        <v>118</v>
      </c>
      <c r="B112" s="12">
        <v>88</v>
      </c>
      <c r="C112" s="12">
        <v>80</v>
      </c>
      <c r="D112" s="50">
        <f>表2[[#This Row],[金额]]-表2[[#This Row],[成本]]</f>
        <v>8</v>
      </c>
      <c r="E112" s="13">
        <v>46045</v>
      </c>
      <c r="F112" s="67" t="s">
        <v>54</v>
      </c>
    </row>
    <row r="113" spans="1:6" ht="22.5" customHeight="1">
      <c r="A113" s="67" t="s">
        <v>119</v>
      </c>
      <c r="B113" s="12">
        <v>200</v>
      </c>
      <c r="C113" s="12">
        <v>80</v>
      </c>
      <c r="D113" s="50">
        <f>表2[[#This Row],[金额]]-表2[[#This Row],[成本]]</f>
        <v>120</v>
      </c>
      <c r="E113" s="13">
        <v>46045</v>
      </c>
      <c r="F113" s="37" t="s">
        <v>54</v>
      </c>
    </row>
    <row r="114" spans="1:6" ht="22.5" customHeight="1">
      <c r="A114" s="67" t="s">
        <v>120</v>
      </c>
      <c r="B114" s="12">
        <v>320</v>
      </c>
      <c r="C114" s="12">
        <v>260</v>
      </c>
      <c r="D114" s="50">
        <f>表2[[#This Row],[金额]]-表2[[#This Row],[成本]]</f>
        <v>60</v>
      </c>
      <c r="E114" s="13">
        <v>46046</v>
      </c>
      <c r="F114" s="37" t="s">
        <v>54</v>
      </c>
    </row>
    <row r="115" spans="1:6" ht="22.5" customHeight="1">
      <c r="A115" s="67" t="s">
        <v>121</v>
      </c>
      <c r="B115" s="12">
        <v>100</v>
      </c>
      <c r="C115" s="12">
        <v>0</v>
      </c>
      <c r="D115" s="50">
        <f>表2[[#This Row],[金额]]-表2[[#This Row],[成本]]</f>
        <v>100</v>
      </c>
      <c r="E115" s="13">
        <v>46046</v>
      </c>
      <c r="F115" s="37" t="s">
        <v>54</v>
      </c>
    </row>
    <row r="116" spans="1:6" ht="22.5" customHeight="1">
      <c r="A116" s="67" t="s">
        <v>122</v>
      </c>
      <c r="B116" s="12">
        <v>75</v>
      </c>
      <c r="C116" s="12">
        <v>0</v>
      </c>
      <c r="D116" s="50">
        <f>表2[[#This Row],[金额]]-表2[[#This Row],[成本]]</f>
        <v>75</v>
      </c>
      <c r="E116" s="13">
        <v>46046</v>
      </c>
      <c r="F116" s="37" t="s">
        <v>54</v>
      </c>
    </row>
    <row r="117" spans="1:6" ht="22.5" customHeight="1">
      <c r="A117" s="67" t="s">
        <v>123</v>
      </c>
      <c r="B117" s="12">
        <v>60</v>
      </c>
      <c r="C117" s="12">
        <v>30</v>
      </c>
      <c r="D117" s="50">
        <f>表2[[#This Row],[金额]]-表2[[#This Row],[成本]]</f>
        <v>30</v>
      </c>
      <c r="E117" s="13">
        <v>46047</v>
      </c>
      <c r="F117" s="67" t="s">
        <v>54</v>
      </c>
    </row>
    <row r="118" spans="1:6" ht="22.5" customHeight="1">
      <c r="A118" s="67" t="s">
        <v>124</v>
      </c>
      <c r="B118" s="12">
        <v>5300</v>
      </c>
      <c r="C118" s="12">
        <v>5100</v>
      </c>
      <c r="D118" s="50">
        <f>表2[[#This Row],[金额]]-表2[[#This Row],[成本]]</f>
        <v>200</v>
      </c>
      <c r="E118" s="13">
        <v>46047</v>
      </c>
      <c r="F118" s="37" t="s">
        <v>54</v>
      </c>
    </row>
    <row r="119" spans="1:6" ht="22.5" customHeight="1">
      <c r="A119" s="67" t="s">
        <v>125</v>
      </c>
      <c r="B119" s="12">
        <v>40</v>
      </c>
      <c r="C119" s="12">
        <v>20</v>
      </c>
      <c r="D119" s="50">
        <f>表2[[#This Row],[金额]]-表2[[#This Row],[成本]]</f>
        <v>20</v>
      </c>
      <c r="E119" s="13">
        <v>46047</v>
      </c>
      <c r="F119" s="67" t="s">
        <v>54</v>
      </c>
    </row>
    <row r="120" spans="1:6" ht="22.5" customHeight="1">
      <c r="A120" s="67" t="s">
        <v>126</v>
      </c>
      <c r="B120" s="12">
        <v>4850</v>
      </c>
      <c r="C120" s="12">
        <v>4750</v>
      </c>
      <c r="D120" s="50">
        <f>表2[[#This Row],[金额]]-表2[[#This Row],[成本]]</f>
        <v>100</v>
      </c>
      <c r="E120" s="13">
        <v>46047</v>
      </c>
      <c r="F120" s="67" t="s">
        <v>54</v>
      </c>
    </row>
    <row r="121" spans="1:6" ht="22.5" customHeight="1">
      <c r="A121" s="67" t="s">
        <v>127</v>
      </c>
      <c r="B121" s="12">
        <v>180</v>
      </c>
      <c r="C121" s="12">
        <v>90</v>
      </c>
      <c r="D121" s="50">
        <f>表2[[#This Row],[金额]]-表2[[#This Row],[成本]]</f>
        <v>90</v>
      </c>
      <c r="E121" s="13">
        <v>46047</v>
      </c>
      <c r="F121" s="67" t="s">
        <v>54</v>
      </c>
    </row>
    <row r="122" spans="1:6" ht="22.5" customHeight="1">
      <c r="A122" s="15" t="s">
        <v>128</v>
      </c>
      <c r="B122" s="12">
        <v>50</v>
      </c>
      <c r="C122" s="12">
        <v>0</v>
      </c>
      <c r="D122" s="50">
        <f>表2[[#This Row],[金额]]-表2[[#This Row],[成本]]</f>
        <v>50</v>
      </c>
      <c r="E122" s="13">
        <v>46047</v>
      </c>
      <c r="F122" s="37" t="s">
        <v>54</v>
      </c>
    </row>
    <row r="123" spans="1:6" ht="22.5" customHeight="1">
      <c r="A123" s="15" t="s">
        <v>129</v>
      </c>
      <c r="B123" s="12">
        <v>1300</v>
      </c>
      <c r="C123" s="12">
        <v>1300</v>
      </c>
      <c r="D123" s="50">
        <f>表2[[#This Row],[金额]]-表2[[#This Row],[成本]]</f>
        <v>0</v>
      </c>
      <c r="E123" s="13">
        <v>46047</v>
      </c>
      <c r="F123" s="37" t="s">
        <v>54</v>
      </c>
    </row>
    <row r="124" spans="1:6" ht="22.5" customHeight="1">
      <c r="A124" s="15" t="s">
        <v>53</v>
      </c>
      <c r="B124" s="12">
        <v>25</v>
      </c>
      <c r="C124" s="12">
        <v>4</v>
      </c>
      <c r="D124" s="50">
        <f>表2[[#This Row],[金额]]-表2[[#This Row],[成本]]</f>
        <v>21</v>
      </c>
      <c r="E124" s="13">
        <v>46047</v>
      </c>
      <c r="F124" s="37" t="s">
        <v>54</v>
      </c>
    </row>
    <row r="125" spans="1:6" ht="22.5" customHeight="1">
      <c r="A125" s="15" t="s">
        <v>130</v>
      </c>
      <c r="B125" s="12">
        <v>180</v>
      </c>
      <c r="C125" s="12">
        <v>80</v>
      </c>
      <c r="D125" s="50">
        <f>表2[[#This Row],[金额]]-表2[[#This Row],[成本]]</f>
        <v>100</v>
      </c>
      <c r="E125" s="13">
        <v>46047</v>
      </c>
      <c r="F125" s="37" t="s">
        <v>54</v>
      </c>
    </row>
    <row r="126" spans="1:6" ht="22.5" customHeight="1">
      <c r="A126" s="15" t="s">
        <v>131</v>
      </c>
      <c r="B126" s="12">
        <v>300</v>
      </c>
      <c r="C126" s="12">
        <v>160</v>
      </c>
      <c r="D126" s="50">
        <f>表2[[#This Row],[金额]]-表2[[#This Row],[成本]]</f>
        <v>140</v>
      </c>
      <c r="E126" s="13">
        <v>46048</v>
      </c>
      <c r="F126" s="37" t="s">
        <v>54</v>
      </c>
    </row>
    <row r="127" spans="1:6" ht="22.5" customHeight="1">
      <c r="A127" s="15" t="s">
        <v>132</v>
      </c>
      <c r="B127" s="12">
        <v>1050</v>
      </c>
      <c r="C127" s="12">
        <v>1050</v>
      </c>
      <c r="D127" s="50">
        <f>表2[[#This Row],[金额]]-表2[[#This Row],[成本]]</f>
        <v>0</v>
      </c>
      <c r="E127" s="13">
        <v>46049</v>
      </c>
      <c r="F127" s="37" t="s">
        <v>54</v>
      </c>
    </row>
    <row r="128" spans="1:6" ht="22.5" customHeight="1">
      <c r="A128" s="15" t="s">
        <v>133</v>
      </c>
      <c r="B128" s="12">
        <v>6000</v>
      </c>
      <c r="C128" s="12">
        <v>5900</v>
      </c>
      <c r="D128" s="50">
        <f>表2[[#This Row],[金额]]-表2[[#This Row],[成本]]</f>
        <v>100</v>
      </c>
      <c r="E128" s="13">
        <v>46049</v>
      </c>
      <c r="F128" s="37" t="s">
        <v>54</v>
      </c>
    </row>
    <row r="129" spans="1:6" ht="22.5" customHeight="1">
      <c r="A129" s="15" t="s">
        <v>134</v>
      </c>
      <c r="B129" s="12">
        <v>700</v>
      </c>
      <c r="C129" s="12">
        <v>700</v>
      </c>
      <c r="D129" s="50">
        <f>表2[[#This Row],[金额]]-表2[[#This Row],[成本]]</f>
        <v>0</v>
      </c>
      <c r="E129" s="13">
        <v>46049</v>
      </c>
      <c r="F129" s="37" t="s">
        <v>54</v>
      </c>
    </row>
    <row r="130" spans="1:6" ht="22.5" customHeight="1">
      <c r="A130" s="67" t="s">
        <v>53</v>
      </c>
      <c r="B130" s="12">
        <v>25</v>
      </c>
      <c r="C130" s="12">
        <v>4</v>
      </c>
      <c r="D130" s="50">
        <f>表2[[#This Row],[金额]]-表2[[#This Row],[成本]]</f>
        <v>21</v>
      </c>
      <c r="E130" s="13">
        <v>46049</v>
      </c>
      <c r="F130" s="37" t="s">
        <v>54</v>
      </c>
    </row>
    <row r="131" spans="1:6" ht="22.5" customHeight="1">
      <c r="A131" s="15" t="s">
        <v>135</v>
      </c>
      <c r="B131" s="12">
        <v>3760</v>
      </c>
      <c r="C131" s="12">
        <v>3700</v>
      </c>
      <c r="D131" s="50">
        <f>表2[[#This Row],[金额]]-表2[[#This Row],[成本]]</f>
        <v>60</v>
      </c>
      <c r="E131" s="13">
        <v>46051</v>
      </c>
      <c r="F131" s="67" t="s">
        <v>54</v>
      </c>
    </row>
    <row r="132" spans="1:6" ht="22.5" customHeight="1">
      <c r="A132" s="15" t="s">
        <v>136</v>
      </c>
      <c r="B132" s="12">
        <v>377</v>
      </c>
      <c r="C132" s="12">
        <v>160</v>
      </c>
      <c r="D132" s="50">
        <f>表2[[#This Row],[金额]]-表2[[#This Row],[成本]]</f>
        <v>217</v>
      </c>
      <c r="E132" s="13">
        <v>46051</v>
      </c>
      <c r="F132" s="67" t="s">
        <v>54</v>
      </c>
    </row>
    <row r="133" spans="1:6" ht="22.5" customHeight="1">
      <c r="A133" s="40" t="s">
        <v>137</v>
      </c>
      <c r="B133" s="12">
        <v>3430</v>
      </c>
      <c r="C133" s="12">
        <v>3250</v>
      </c>
      <c r="D133" s="50">
        <f>表2[[#This Row],[金额]]-表2[[#This Row],[成本]]</f>
        <v>180</v>
      </c>
      <c r="E133" s="68">
        <v>46052</v>
      </c>
      <c r="F133" s="67" t="s">
        <v>54</v>
      </c>
    </row>
    <row r="134" spans="1:6" ht="22.5" customHeight="1">
      <c r="A134" s="15" t="s">
        <v>56</v>
      </c>
      <c r="B134" s="12">
        <v>600</v>
      </c>
      <c r="C134" s="12">
        <v>600</v>
      </c>
      <c r="D134" s="50">
        <f>表2[[#This Row],[金额]]-表2[[#This Row],[成本]]</f>
        <v>0</v>
      </c>
      <c r="E134" s="13">
        <v>46052</v>
      </c>
      <c r="F134" s="67" t="s">
        <v>54</v>
      </c>
    </row>
    <row r="135" spans="1:6" ht="22.5" customHeight="1">
      <c r="A135" s="15" t="s">
        <v>56</v>
      </c>
      <c r="B135" s="12">
        <v>900</v>
      </c>
      <c r="C135" s="12">
        <v>900</v>
      </c>
      <c r="D135" s="50">
        <f>表2[[#This Row],[金额]]-表2[[#This Row],[成本]]</f>
        <v>0</v>
      </c>
      <c r="E135" s="13">
        <v>46053</v>
      </c>
      <c r="F135" s="67" t="s">
        <v>54</v>
      </c>
    </row>
    <row r="136" spans="1:6" ht="22.5" customHeight="1">
      <c r="A136" s="15" t="s">
        <v>138</v>
      </c>
      <c r="B136" s="12">
        <v>20</v>
      </c>
      <c r="C136" s="12">
        <v>0</v>
      </c>
      <c r="D136" s="50">
        <f>表2[[#This Row],[金额]]-表2[[#This Row],[成本]]</f>
        <v>20</v>
      </c>
      <c r="E136" s="13">
        <v>46053</v>
      </c>
      <c r="F136" s="67" t="s">
        <v>54</v>
      </c>
    </row>
    <row r="137" spans="1:6" ht="22.5" customHeight="1">
      <c r="A137" s="15" t="s">
        <v>139</v>
      </c>
      <c r="B137" s="12">
        <v>1000</v>
      </c>
      <c r="C137" s="12">
        <v>1000</v>
      </c>
      <c r="D137" s="50">
        <f>表2[[#This Row],[金额]]-表2[[#This Row],[成本]]</f>
        <v>0</v>
      </c>
      <c r="E137" s="13">
        <v>46054</v>
      </c>
      <c r="F137" s="67" t="s">
        <v>54</v>
      </c>
    </row>
    <row r="138" spans="1:6" ht="22.5" customHeight="1">
      <c r="A138" s="15" t="s">
        <v>140</v>
      </c>
      <c r="B138" s="12">
        <v>30</v>
      </c>
      <c r="C138" s="12">
        <v>30</v>
      </c>
      <c r="D138" s="50">
        <f>表2[[#This Row],[金额]]-表2[[#This Row],[成本]]</f>
        <v>0</v>
      </c>
      <c r="E138" s="13">
        <v>46054</v>
      </c>
      <c r="F138" s="67" t="s">
        <v>54</v>
      </c>
    </row>
    <row r="139" spans="1:6" ht="22.5" customHeight="1">
      <c r="A139" s="15" t="s">
        <v>141</v>
      </c>
      <c r="B139" s="12">
        <v>200</v>
      </c>
      <c r="C139" s="12">
        <v>100</v>
      </c>
      <c r="D139" s="50">
        <f>表2[[#This Row],[金额]]-表2[[#This Row],[成本]]</f>
        <v>100</v>
      </c>
      <c r="E139" s="13">
        <v>46054</v>
      </c>
      <c r="F139" s="67" t="s">
        <v>54</v>
      </c>
    </row>
    <row r="140" spans="1:6" ht="22.5" customHeight="1">
      <c r="A140" s="15" t="s">
        <v>63</v>
      </c>
      <c r="B140" s="12">
        <v>30</v>
      </c>
      <c r="C140" s="12">
        <v>12</v>
      </c>
      <c r="D140" s="50">
        <f>表2[[#This Row],[金额]]-表2[[#This Row],[成本]]</f>
        <v>18</v>
      </c>
      <c r="E140" s="13">
        <v>46054</v>
      </c>
      <c r="F140" s="67" t="s">
        <v>54</v>
      </c>
    </row>
    <row r="141" spans="1:6" ht="22.5" customHeight="1">
      <c r="A141" s="15" t="s">
        <v>142</v>
      </c>
      <c r="B141" s="12">
        <v>240</v>
      </c>
      <c r="C141" s="12">
        <v>90</v>
      </c>
      <c r="D141" s="50">
        <f>表2[[#This Row],[金额]]-表2[[#This Row],[成本]]</f>
        <v>150</v>
      </c>
      <c r="E141" s="13">
        <v>46057</v>
      </c>
      <c r="F141" s="67" t="s">
        <v>54</v>
      </c>
    </row>
    <row r="142" spans="1:6" ht="22.5" customHeight="1">
      <c r="A142" s="15" t="s">
        <v>143</v>
      </c>
      <c r="B142" s="12">
        <v>960</v>
      </c>
      <c r="C142" s="12">
        <v>850</v>
      </c>
      <c r="D142" s="50">
        <f>表2[[#This Row],[金额]]-表2[[#This Row],[成本]]</f>
        <v>110</v>
      </c>
      <c r="E142" s="13">
        <v>46057</v>
      </c>
      <c r="F142" s="67" t="s">
        <v>54</v>
      </c>
    </row>
    <row r="143" spans="1:6" ht="22.5" customHeight="1">
      <c r="A143" s="15" t="s">
        <v>53</v>
      </c>
      <c r="B143" s="12">
        <v>15</v>
      </c>
      <c r="C143" s="12">
        <v>2</v>
      </c>
      <c r="D143" s="50">
        <f>表2[[#This Row],[金额]]-表2[[#This Row],[成本]]</f>
        <v>13</v>
      </c>
      <c r="E143" s="13">
        <v>46057</v>
      </c>
      <c r="F143" s="67" t="s">
        <v>54</v>
      </c>
    </row>
    <row r="144" spans="1:6" ht="22.5" customHeight="1">
      <c r="A144" s="67" t="s">
        <v>144</v>
      </c>
      <c r="B144" s="12">
        <v>4320</v>
      </c>
      <c r="C144" s="12">
        <v>4320</v>
      </c>
      <c r="D144" s="50">
        <f>表2[[#This Row],[金额]]-表2[[#This Row],[成本]]</f>
        <v>0</v>
      </c>
      <c r="E144" s="13">
        <v>46058</v>
      </c>
      <c r="F144" s="67" t="s">
        <v>54</v>
      </c>
    </row>
    <row r="145" spans="1:6" ht="22.5" customHeight="1">
      <c r="A145" s="15" t="s">
        <v>145</v>
      </c>
      <c r="B145" s="12">
        <v>0</v>
      </c>
      <c r="C145" s="12">
        <v>61.5</v>
      </c>
      <c r="D145" s="50">
        <f>表2[[#This Row],[金额]]-表2[[#This Row],[成本]]</f>
        <v>-61.5</v>
      </c>
      <c r="E145" s="13">
        <v>46058</v>
      </c>
      <c r="F145" s="67" t="s">
        <v>54</v>
      </c>
    </row>
    <row r="146" spans="1:6" ht="22.5" customHeight="1">
      <c r="A146" s="15" t="s">
        <v>146</v>
      </c>
      <c r="B146" s="12">
        <v>0</v>
      </c>
      <c r="C146" s="12">
        <v>75.099999999999994</v>
      </c>
      <c r="D146" s="50">
        <f>表2[[#This Row],[金额]]-表2[[#This Row],[成本]]</f>
        <v>-75.099999999999994</v>
      </c>
      <c r="E146" s="13">
        <v>46058</v>
      </c>
      <c r="F146" s="67" t="s">
        <v>54</v>
      </c>
    </row>
    <row r="147" spans="1:6" ht="22.5" customHeight="1">
      <c r="A147" s="15" t="s">
        <v>53</v>
      </c>
      <c r="B147" s="12">
        <v>6.66</v>
      </c>
      <c r="C147" s="12">
        <v>2</v>
      </c>
      <c r="D147" s="50">
        <f>表2[[#This Row],[金额]]-表2[[#This Row],[成本]]</f>
        <v>4.66</v>
      </c>
      <c r="E147" s="13">
        <v>46058</v>
      </c>
      <c r="F147" s="37" t="s">
        <v>54</v>
      </c>
    </row>
    <row r="148" spans="1:6" ht="22.5" customHeight="1">
      <c r="A148" s="15" t="s">
        <v>147</v>
      </c>
      <c r="B148" s="12">
        <v>20</v>
      </c>
      <c r="C148" s="12">
        <v>10</v>
      </c>
      <c r="D148" s="50">
        <f>表2[[#This Row],[金额]]-表2[[#This Row],[成本]]</f>
        <v>10</v>
      </c>
      <c r="E148" s="13">
        <v>46058</v>
      </c>
      <c r="F148" s="37" t="s">
        <v>54</v>
      </c>
    </row>
    <row r="149" spans="1:6" ht="22.5" customHeight="1">
      <c r="A149" s="15" t="s">
        <v>148</v>
      </c>
      <c r="B149" s="12">
        <v>20</v>
      </c>
      <c r="C149" s="12">
        <v>10</v>
      </c>
      <c r="D149" s="50">
        <f>表2[[#This Row],[金额]]-表2[[#This Row],[成本]]</f>
        <v>10</v>
      </c>
      <c r="E149" s="13">
        <v>46059</v>
      </c>
      <c r="F149" s="37" t="s">
        <v>54</v>
      </c>
    </row>
    <row r="150" spans="1:6" ht="22.5" customHeight="1">
      <c r="A150" s="15" t="s">
        <v>53</v>
      </c>
      <c r="B150" s="12">
        <v>15</v>
      </c>
      <c r="C150" s="12">
        <v>2</v>
      </c>
      <c r="D150" s="50">
        <f>表2[[#This Row],[金额]]-表2[[#This Row],[成本]]</f>
        <v>13</v>
      </c>
      <c r="E150" s="13">
        <v>46059</v>
      </c>
      <c r="F150" s="37" t="s">
        <v>54</v>
      </c>
    </row>
    <row r="151" spans="1:6" ht="22.5" customHeight="1">
      <c r="A151" s="15" t="s">
        <v>149</v>
      </c>
      <c r="B151" s="12">
        <v>2300</v>
      </c>
      <c r="C151" s="12">
        <v>2300</v>
      </c>
      <c r="D151" s="50">
        <f>表2[[#This Row],[金额]]-表2[[#This Row],[成本]]</f>
        <v>0</v>
      </c>
      <c r="E151" s="13">
        <v>46060</v>
      </c>
      <c r="F151" s="37" t="s">
        <v>54</v>
      </c>
    </row>
    <row r="152" spans="1:6" ht="22.5" customHeight="1">
      <c r="A152" s="15" t="s">
        <v>150</v>
      </c>
      <c r="B152" s="12">
        <v>500</v>
      </c>
      <c r="C152" s="12">
        <v>500</v>
      </c>
      <c r="D152" s="50">
        <f>表2[[#This Row],[金额]]-表2[[#This Row],[成本]]</f>
        <v>0</v>
      </c>
      <c r="E152" s="13">
        <v>46060</v>
      </c>
      <c r="F152" s="37" t="s">
        <v>54</v>
      </c>
    </row>
    <row r="153" spans="1:6" ht="22.5" customHeight="1">
      <c r="A153" s="15" t="s">
        <v>143</v>
      </c>
      <c r="B153" s="12">
        <v>1093</v>
      </c>
      <c r="C153" s="12">
        <v>1010</v>
      </c>
      <c r="D153" s="50">
        <f>表2[[#This Row],[金额]]-表2[[#This Row],[成本]]</f>
        <v>83</v>
      </c>
      <c r="E153" s="13">
        <v>46061</v>
      </c>
      <c r="F153" s="37" t="s">
        <v>54</v>
      </c>
    </row>
    <row r="154" spans="1:6" ht="22.5" customHeight="1">
      <c r="A154" s="15" t="s">
        <v>151</v>
      </c>
      <c r="B154" s="12">
        <v>2500</v>
      </c>
      <c r="C154" s="12">
        <v>2350</v>
      </c>
      <c r="D154" s="50">
        <f>表2[[#This Row],[金额]]-表2[[#This Row],[成本]]</f>
        <v>150</v>
      </c>
      <c r="E154" s="13">
        <v>46061</v>
      </c>
      <c r="F154" s="37" t="s">
        <v>54</v>
      </c>
    </row>
    <row r="155" spans="1:6" ht="22.5" customHeight="1">
      <c r="A155" s="15" t="s">
        <v>152</v>
      </c>
      <c r="B155" s="12">
        <v>180</v>
      </c>
      <c r="C155" s="12">
        <v>150</v>
      </c>
      <c r="D155" s="50">
        <f>表2[[#This Row],[金额]]-表2[[#This Row],[成本]]</f>
        <v>30</v>
      </c>
      <c r="E155" s="13">
        <v>46062</v>
      </c>
      <c r="F155" s="37" t="s">
        <v>54</v>
      </c>
    </row>
    <row r="156" spans="1:6" ht="22.5" customHeight="1">
      <c r="A156" s="15" t="s">
        <v>153</v>
      </c>
      <c r="B156" s="12">
        <v>0</v>
      </c>
      <c r="C156" s="12">
        <v>100</v>
      </c>
      <c r="D156" s="50">
        <f>表2[[#This Row],[金额]]-表2[[#This Row],[成本]]</f>
        <v>-100</v>
      </c>
      <c r="E156" s="13">
        <v>46062</v>
      </c>
      <c r="F156" s="37" t="s">
        <v>54</v>
      </c>
    </row>
    <row r="157" spans="1:6" ht="22.5" customHeight="1">
      <c r="A157" s="15" t="s">
        <v>154</v>
      </c>
      <c r="B157" s="12">
        <v>4550</v>
      </c>
      <c r="C157" s="12">
        <v>4420</v>
      </c>
      <c r="D157" s="50">
        <f>表2[[#This Row],[金额]]-表2[[#This Row],[成本]]</f>
        <v>130</v>
      </c>
      <c r="E157" s="13">
        <v>46064</v>
      </c>
      <c r="F157" s="37" t="s">
        <v>54</v>
      </c>
    </row>
    <row r="158" spans="1:6" ht="22.5" customHeight="1">
      <c r="A158" s="15" t="s">
        <v>155</v>
      </c>
      <c r="B158" s="12">
        <v>3450</v>
      </c>
      <c r="C158" s="12">
        <v>3350</v>
      </c>
      <c r="D158" s="50">
        <f>表2[[#This Row],[金额]]-表2[[#This Row],[成本]]</f>
        <v>100</v>
      </c>
      <c r="E158" s="13">
        <v>46064</v>
      </c>
      <c r="F158" s="37" t="s">
        <v>54</v>
      </c>
    </row>
    <row r="159" spans="1:6" ht="22.5" customHeight="1">
      <c r="A159" s="15" t="s">
        <v>53</v>
      </c>
      <c r="B159" s="12">
        <v>25</v>
      </c>
      <c r="C159" s="12">
        <v>4</v>
      </c>
      <c r="D159" s="50">
        <f>表2[[#This Row],[金额]]-表2[[#This Row],[成本]]</f>
        <v>21</v>
      </c>
      <c r="E159" s="13">
        <v>46064</v>
      </c>
      <c r="F159" s="37" t="s">
        <v>54</v>
      </c>
    </row>
    <row r="160" spans="1:6" ht="22.5" customHeight="1">
      <c r="A160" s="15" t="s">
        <v>156</v>
      </c>
      <c r="B160" s="12">
        <v>1550</v>
      </c>
      <c r="C160" s="12">
        <v>1550</v>
      </c>
      <c r="D160" s="50">
        <f>表2[[#This Row],[金额]]-表2[[#This Row],[成本]]</f>
        <v>0</v>
      </c>
      <c r="E160" s="13">
        <v>46064</v>
      </c>
      <c r="F160" s="37" t="s">
        <v>54</v>
      </c>
    </row>
    <row r="161" spans="1:6" ht="22.5" customHeight="1">
      <c r="A161" s="15" t="s">
        <v>157</v>
      </c>
      <c r="B161" s="12">
        <v>14000</v>
      </c>
      <c r="C161" s="12">
        <v>14000</v>
      </c>
      <c r="D161" s="50">
        <f>表2[[#This Row],[金额]]-表2[[#This Row],[成本]]</f>
        <v>0</v>
      </c>
      <c r="E161" s="13">
        <v>46064</v>
      </c>
      <c r="F161" s="37" t="s">
        <v>54</v>
      </c>
    </row>
    <row r="162" spans="1:6" ht="22.5" customHeight="1">
      <c r="A162" s="15" t="s">
        <v>158</v>
      </c>
      <c r="B162" s="12">
        <v>1053</v>
      </c>
      <c r="C162" s="12">
        <v>700</v>
      </c>
      <c r="D162" s="50">
        <f>表2[[#This Row],[金额]]-表2[[#This Row],[成本]]</f>
        <v>353</v>
      </c>
      <c r="E162" s="13">
        <v>46064</v>
      </c>
      <c r="F162" s="37" t="s">
        <v>54</v>
      </c>
    </row>
    <row r="163" spans="1:6" ht="22.5" customHeight="1">
      <c r="A163" s="15" t="s">
        <v>159</v>
      </c>
      <c r="B163" s="12">
        <v>940</v>
      </c>
      <c r="C163" s="12">
        <v>850</v>
      </c>
      <c r="D163" s="50">
        <f>表2[[#This Row],[金额]]-表2[[#This Row],[成本]]</f>
        <v>90</v>
      </c>
      <c r="E163" s="13">
        <v>46065</v>
      </c>
      <c r="F163" s="37" t="s">
        <v>54</v>
      </c>
    </row>
    <row r="164" spans="1:6" ht="22.5" customHeight="1">
      <c r="A164" s="15" t="s">
        <v>160</v>
      </c>
      <c r="B164" s="12">
        <v>2900</v>
      </c>
      <c r="C164" s="12">
        <v>2800</v>
      </c>
      <c r="D164" s="50">
        <f>表2[[#This Row],[金额]]-表2[[#This Row],[成本]]</f>
        <v>100</v>
      </c>
      <c r="E164" s="13">
        <v>46079</v>
      </c>
      <c r="F164" s="37" t="s">
        <v>54</v>
      </c>
    </row>
    <row r="165" spans="1:6" ht="22.5" customHeight="1">
      <c r="A165" s="15" t="s">
        <v>53</v>
      </c>
      <c r="B165" s="12">
        <v>15</v>
      </c>
      <c r="C165" s="12">
        <v>2</v>
      </c>
      <c r="D165" s="50">
        <f>表2[[#This Row],[金额]]-表2[[#This Row],[成本]]</f>
        <v>13</v>
      </c>
      <c r="E165" s="13">
        <v>46079</v>
      </c>
      <c r="F165" s="37" t="s">
        <v>54</v>
      </c>
    </row>
    <row r="166" spans="1:6" ht="22.5" customHeight="1">
      <c r="A166" s="15" t="s">
        <v>161</v>
      </c>
      <c r="B166" s="12">
        <v>1888.6</v>
      </c>
      <c r="C166" s="12">
        <v>1808.6</v>
      </c>
      <c r="D166" s="50">
        <f>表2[[#This Row],[金额]]-表2[[#This Row],[成本]]</f>
        <v>80</v>
      </c>
      <c r="E166" s="13">
        <v>46079</v>
      </c>
      <c r="F166" s="37" t="s">
        <v>54</v>
      </c>
    </row>
    <row r="167" spans="1:6" ht="22.5" customHeight="1">
      <c r="A167" s="15" t="s">
        <v>162</v>
      </c>
      <c r="B167" s="12">
        <v>0</v>
      </c>
      <c r="C167" s="12">
        <v>473.38</v>
      </c>
      <c r="D167" s="50">
        <f>表2[[#This Row],[金额]]-表2[[#This Row],[成本]]</f>
        <v>-473.38</v>
      </c>
      <c r="E167" s="13">
        <v>46079</v>
      </c>
      <c r="F167" s="37" t="s">
        <v>54</v>
      </c>
    </row>
    <row r="168" spans="1:6" ht="22.5" customHeight="1">
      <c r="A168" s="15" t="s">
        <v>163</v>
      </c>
      <c r="B168" s="12">
        <v>0</v>
      </c>
      <c r="C168" s="12">
        <v>1065.05</v>
      </c>
      <c r="D168" s="50">
        <f>表2[[#This Row],[金额]]-表2[[#This Row],[成本]]</f>
        <v>-1065.05</v>
      </c>
      <c r="E168" s="13">
        <v>46079</v>
      </c>
      <c r="F168" s="37" t="s">
        <v>54</v>
      </c>
    </row>
    <row r="169" spans="1:6" ht="22.5" customHeight="1">
      <c r="A169" s="15" t="s">
        <v>74</v>
      </c>
      <c r="B169" s="12">
        <v>500</v>
      </c>
      <c r="C169" s="12">
        <v>280</v>
      </c>
      <c r="D169" s="50">
        <f>表2[[#This Row],[金额]]-表2[[#This Row],[成本]]</f>
        <v>220</v>
      </c>
      <c r="E169" s="13">
        <v>46079</v>
      </c>
      <c r="F169" s="37" t="s">
        <v>54</v>
      </c>
    </row>
    <row r="170" spans="1:6" ht="22.5" customHeight="1">
      <c r="A170" s="15" t="s">
        <v>164</v>
      </c>
      <c r="B170" s="12">
        <v>2485</v>
      </c>
      <c r="C170" s="12">
        <v>2335</v>
      </c>
      <c r="D170" s="50">
        <f>表2[[#This Row],[金额]]-表2[[#This Row],[成本]]</f>
        <v>150</v>
      </c>
      <c r="E170" s="13">
        <v>46079</v>
      </c>
      <c r="F170" s="37" t="s">
        <v>54</v>
      </c>
    </row>
    <row r="171" spans="1:6" ht="22.5" customHeight="1">
      <c r="A171" s="15" t="s">
        <v>53</v>
      </c>
      <c r="B171" s="12">
        <v>15</v>
      </c>
      <c r="C171" s="12">
        <v>2</v>
      </c>
      <c r="D171" s="50">
        <f>表2[[#This Row],[金额]]-表2[[#This Row],[成本]]</f>
        <v>13</v>
      </c>
      <c r="E171" s="13">
        <v>46079</v>
      </c>
      <c r="F171" s="37" t="s">
        <v>54</v>
      </c>
    </row>
    <row r="172" spans="1:6" ht="22.5" customHeight="1">
      <c r="A172" s="67" t="s">
        <v>165</v>
      </c>
      <c r="B172" s="12">
        <v>695.8</v>
      </c>
      <c r="C172" s="12">
        <v>625.79999999999995</v>
      </c>
      <c r="D172" s="50">
        <f>表2[[#This Row],[金额]]-表2[[#This Row],[成本]]</f>
        <v>70</v>
      </c>
      <c r="E172" s="13">
        <v>46079</v>
      </c>
      <c r="F172" s="37" t="s">
        <v>54</v>
      </c>
    </row>
    <row r="173" spans="1:6" ht="22.5" customHeight="1">
      <c r="A173" s="15" t="s">
        <v>53</v>
      </c>
      <c r="B173" s="12">
        <v>30</v>
      </c>
      <c r="C173" s="12">
        <v>13</v>
      </c>
      <c r="D173" s="50">
        <f>表2[[#This Row],[金额]]-表2[[#This Row],[成本]]</f>
        <v>17</v>
      </c>
      <c r="E173" s="13">
        <v>46079</v>
      </c>
      <c r="F173" s="37" t="s">
        <v>54</v>
      </c>
    </row>
    <row r="174" spans="1:6" ht="22.5" customHeight="1">
      <c r="A174" s="67" t="s">
        <v>166</v>
      </c>
      <c r="B174" s="12">
        <v>1242.5</v>
      </c>
      <c r="C174" s="12">
        <v>1182.5</v>
      </c>
      <c r="D174" s="50">
        <f>表2[[#This Row],[金额]]-表2[[#This Row],[成本]]</f>
        <v>60</v>
      </c>
      <c r="E174" s="13">
        <v>46080</v>
      </c>
      <c r="F174" s="37" t="s">
        <v>54</v>
      </c>
    </row>
    <row r="175" spans="1:6" ht="22.5" customHeight="1">
      <c r="A175" s="15" t="s">
        <v>63</v>
      </c>
      <c r="B175" s="12">
        <v>18</v>
      </c>
      <c r="C175" s="12">
        <v>12</v>
      </c>
      <c r="D175" s="50">
        <f>表2[[#This Row],[金额]]-表2[[#This Row],[成本]]</f>
        <v>6</v>
      </c>
      <c r="E175" s="13">
        <v>46082</v>
      </c>
      <c r="F175" s="37" t="s">
        <v>54</v>
      </c>
    </row>
    <row r="176" spans="1:6" ht="22.5" customHeight="1">
      <c r="A176" s="67" t="s">
        <v>167</v>
      </c>
      <c r="B176" s="12">
        <v>1192.8</v>
      </c>
      <c r="C176" s="12">
        <v>1112.8</v>
      </c>
      <c r="D176" s="50">
        <f>表2[[#This Row],[金额]]-表2[[#This Row],[成本]]</f>
        <v>80</v>
      </c>
      <c r="E176" s="13">
        <v>46083</v>
      </c>
      <c r="F176" s="37" t="s">
        <v>54</v>
      </c>
    </row>
    <row r="177" spans="1:6" ht="22.5" customHeight="1">
      <c r="A177" s="15" t="s">
        <v>168</v>
      </c>
      <c r="B177" s="12">
        <v>850</v>
      </c>
      <c r="C177" s="12">
        <v>800</v>
      </c>
      <c r="D177" s="50">
        <f>表2[[#This Row],[金额]]-表2[[#This Row],[成本]]</f>
        <v>50</v>
      </c>
      <c r="E177" s="13">
        <v>46083</v>
      </c>
      <c r="F177" s="37" t="s">
        <v>54</v>
      </c>
    </row>
    <row r="178" spans="1:6" ht="22.5" customHeight="1">
      <c r="A178" s="67" t="s">
        <v>169</v>
      </c>
      <c r="B178" s="12">
        <v>594.6</v>
      </c>
      <c r="C178" s="12">
        <v>534.6</v>
      </c>
      <c r="D178" s="50">
        <f>表2[[#This Row],[金额]]-表2[[#This Row],[成本]]</f>
        <v>60</v>
      </c>
      <c r="E178" s="13">
        <v>46083</v>
      </c>
      <c r="F178" s="37" t="s">
        <v>54</v>
      </c>
    </row>
    <row r="179" spans="1:6" ht="22.5" customHeight="1">
      <c r="A179" s="67" t="s">
        <v>170</v>
      </c>
      <c r="B179" s="12">
        <v>80</v>
      </c>
      <c r="C179" s="12">
        <v>20</v>
      </c>
      <c r="D179" s="50">
        <f>表2[[#This Row],[金额]]-表2[[#This Row],[成本]]</f>
        <v>60</v>
      </c>
      <c r="E179" s="13">
        <v>46086</v>
      </c>
      <c r="F179" s="37" t="s">
        <v>54</v>
      </c>
    </row>
    <row r="180" spans="1:6" ht="22.5" customHeight="1">
      <c r="A180" s="15" t="s">
        <v>171</v>
      </c>
      <c r="B180" s="12">
        <v>30</v>
      </c>
      <c r="C180" s="12">
        <v>7</v>
      </c>
      <c r="D180" s="50">
        <f>表2[[#This Row],[金额]]-表2[[#This Row],[成本]]</f>
        <v>23</v>
      </c>
      <c r="E180" s="13">
        <v>46086</v>
      </c>
      <c r="F180" s="37" t="s">
        <v>54</v>
      </c>
    </row>
    <row r="181" spans="1:6" ht="22.5" customHeight="1">
      <c r="A181" s="15" t="s">
        <v>172</v>
      </c>
      <c r="B181" s="12">
        <v>1720</v>
      </c>
      <c r="C181" s="12">
        <v>1600</v>
      </c>
      <c r="D181" s="50">
        <f>表2[[#This Row],[金额]]-表2[[#This Row],[成本]]</f>
        <v>120</v>
      </c>
      <c r="E181" s="13">
        <v>46087</v>
      </c>
      <c r="F181" s="37" t="s">
        <v>54</v>
      </c>
    </row>
    <row r="182" spans="1:6" ht="22.5" customHeight="1">
      <c r="A182" s="67" t="s">
        <v>53</v>
      </c>
      <c r="B182" s="12">
        <v>15</v>
      </c>
      <c r="C182" s="12">
        <v>2</v>
      </c>
      <c r="D182" s="50">
        <f>表2[[#This Row],[金额]]-表2[[#This Row],[成本]]</f>
        <v>13</v>
      </c>
      <c r="E182" s="13">
        <v>46087</v>
      </c>
      <c r="F182" s="37" t="s">
        <v>54</v>
      </c>
    </row>
    <row r="183" spans="1:6" ht="22.5" customHeight="1">
      <c r="A183" s="67" t="s">
        <v>60</v>
      </c>
      <c r="B183" s="12">
        <v>30</v>
      </c>
      <c r="C183" s="12">
        <v>4</v>
      </c>
      <c r="D183" s="50">
        <f>表2[[#This Row],[金额]]-表2[[#This Row],[成本]]</f>
        <v>26</v>
      </c>
      <c r="E183" s="13">
        <v>46087</v>
      </c>
      <c r="F183" s="37" t="s">
        <v>54</v>
      </c>
    </row>
    <row r="184" spans="1:6" ht="22.5" customHeight="1">
      <c r="A184" s="15" t="s">
        <v>53</v>
      </c>
      <c r="B184" s="12">
        <v>25</v>
      </c>
      <c r="C184" s="12">
        <v>4</v>
      </c>
      <c r="D184" s="50">
        <f>表2[[#This Row],[金额]]-表2[[#This Row],[成本]]</f>
        <v>21</v>
      </c>
      <c r="E184" s="13">
        <v>46087</v>
      </c>
      <c r="F184" s="37" t="s">
        <v>54</v>
      </c>
    </row>
    <row r="185" spans="1:6" ht="22.5" customHeight="1">
      <c r="A185" s="15" t="s">
        <v>173</v>
      </c>
      <c r="B185" s="12">
        <v>580</v>
      </c>
      <c r="C185" s="12">
        <v>385</v>
      </c>
      <c r="D185" s="50">
        <f>表2[[#This Row],[金额]]-表2[[#This Row],[成本]]</f>
        <v>195</v>
      </c>
      <c r="E185" s="13">
        <v>46087</v>
      </c>
      <c r="F185" s="37" t="s">
        <v>54</v>
      </c>
    </row>
    <row r="186" spans="1:6" ht="22.5" customHeight="1">
      <c r="A186" s="15" t="s">
        <v>174</v>
      </c>
      <c r="B186" s="12">
        <v>3627.8</v>
      </c>
      <c r="C186" s="12">
        <v>3567.8</v>
      </c>
      <c r="D186" s="50">
        <f>表2[[#This Row],[金额]]-表2[[#This Row],[成本]]</f>
        <v>60</v>
      </c>
      <c r="E186" s="13">
        <v>46088</v>
      </c>
      <c r="F186" s="37" t="s">
        <v>54</v>
      </c>
    </row>
    <row r="187" spans="1:6" ht="22.5" customHeight="1">
      <c r="A187" s="15" t="s">
        <v>175</v>
      </c>
      <c r="B187" s="12">
        <v>1000</v>
      </c>
      <c r="C187" s="12">
        <v>900</v>
      </c>
      <c r="D187" s="50">
        <f>表2[[#This Row],[金额]]-表2[[#This Row],[成本]]</f>
        <v>100</v>
      </c>
      <c r="E187" s="13">
        <v>46088</v>
      </c>
      <c r="F187" s="37" t="s">
        <v>54</v>
      </c>
    </row>
    <row r="188" spans="1:6" ht="22.5" customHeight="1">
      <c r="A188" s="67" t="s">
        <v>53</v>
      </c>
      <c r="B188" s="12">
        <v>30</v>
      </c>
      <c r="C188" s="12">
        <v>4</v>
      </c>
      <c r="D188" s="50">
        <f>表2[[#This Row],[金额]]-表2[[#This Row],[成本]]</f>
        <v>26</v>
      </c>
      <c r="E188" s="13">
        <v>46088</v>
      </c>
      <c r="F188" s="37" t="s">
        <v>54</v>
      </c>
    </row>
    <row r="189" spans="1:6" ht="22.5" customHeight="1">
      <c r="A189" s="15" t="s">
        <v>53</v>
      </c>
      <c r="B189" s="12">
        <v>15</v>
      </c>
      <c r="C189" s="12">
        <v>2</v>
      </c>
      <c r="D189" s="50">
        <f>表2[[#This Row],[金额]]-表2[[#This Row],[成本]]</f>
        <v>13</v>
      </c>
      <c r="E189" s="13">
        <v>46089</v>
      </c>
      <c r="F189" s="37" t="s">
        <v>54</v>
      </c>
    </row>
    <row r="190" spans="1:6" ht="22.5" customHeight="1">
      <c r="A190" s="15" t="s">
        <v>53</v>
      </c>
      <c r="B190" s="12">
        <v>25</v>
      </c>
      <c r="C190" s="12">
        <v>4</v>
      </c>
      <c r="D190" s="50">
        <f>表2[[#This Row],[金额]]-表2[[#This Row],[成本]]</f>
        <v>21</v>
      </c>
      <c r="E190" s="13">
        <v>46089</v>
      </c>
      <c r="F190" s="37" t="s">
        <v>54</v>
      </c>
    </row>
    <row r="191" spans="1:6" ht="22.5" customHeight="1">
      <c r="A191" s="15" t="s">
        <v>108</v>
      </c>
      <c r="B191" s="12">
        <v>1500</v>
      </c>
      <c r="C191" s="12">
        <v>1500</v>
      </c>
      <c r="D191" s="50">
        <f>表2[[#This Row],[金额]]-表2[[#This Row],[成本]]</f>
        <v>0</v>
      </c>
      <c r="E191" s="13">
        <v>46089</v>
      </c>
      <c r="F191" s="37" t="s">
        <v>54</v>
      </c>
    </row>
    <row r="192" spans="1:6" ht="22.5" customHeight="1">
      <c r="A192" s="15" t="s">
        <v>162</v>
      </c>
      <c r="B192" s="12">
        <v>0</v>
      </c>
      <c r="C192" s="12">
        <v>96.8</v>
      </c>
      <c r="D192" s="50">
        <f>表2[[#This Row],[金额]]-表2[[#This Row],[成本]]</f>
        <v>-96.8</v>
      </c>
      <c r="E192" s="13">
        <v>46090</v>
      </c>
      <c r="F192" s="37" t="s">
        <v>54</v>
      </c>
    </row>
    <row r="193" spans="1:6" ht="22.5" customHeight="1">
      <c r="A193" s="15" t="s">
        <v>60</v>
      </c>
      <c r="B193" s="12">
        <v>25</v>
      </c>
      <c r="C193" s="12">
        <v>4</v>
      </c>
      <c r="D193" s="50">
        <f>表2[[#This Row],[金额]]-表2[[#This Row],[成本]]</f>
        <v>21</v>
      </c>
      <c r="E193" s="13">
        <v>46090</v>
      </c>
      <c r="F193" s="37" t="s">
        <v>54</v>
      </c>
    </row>
    <row r="194" spans="1:6" ht="22.5" customHeight="1">
      <c r="A194" s="15" t="s">
        <v>53</v>
      </c>
      <c r="B194" s="12">
        <v>20</v>
      </c>
      <c r="C194" s="12">
        <v>2</v>
      </c>
      <c r="D194" s="50">
        <f>表2[[#This Row],[金额]]-表2[[#This Row],[成本]]</f>
        <v>18</v>
      </c>
      <c r="E194" s="13">
        <v>46090</v>
      </c>
      <c r="F194" s="37" t="s">
        <v>54</v>
      </c>
    </row>
    <row r="195" spans="1:6" ht="22.5" customHeight="1">
      <c r="A195" s="15" t="s">
        <v>60</v>
      </c>
      <c r="B195" s="12">
        <v>20</v>
      </c>
      <c r="C195" s="12">
        <v>4</v>
      </c>
      <c r="D195" s="50">
        <f>表2[[#This Row],[金额]]-表2[[#This Row],[成本]]</f>
        <v>16</v>
      </c>
      <c r="E195" s="13">
        <v>46090</v>
      </c>
      <c r="F195" s="37" t="s">
        <v>54</v>
      </c>
    </row>
    <row r="196" spans="1:6" ht="22.5" customHeight="1">
      <c r="A196" s="15" t="s">
        <v>53</v>
      </c>
      <c r="B196" s="12">
        <v>15</v>
      </c>
      <c r="C196" s="12">
        <v>2</v>
      </c>
      <c r="D196" s="50">
        <f>表2[[#This Row],[金额]]-表2[[#This Row],[成本]]</f>
        <v>13</v>
      </c>
      <c r="E196" s="13">
        <v>46090</v>
      </c>
      <c r="F196" s="37" t="s">
        <v>54</v>
      </c>
    </row>
    <row r="197" spans="1:6" ht="22.5" customHeight="1">
      <c r="A197" s="15" t="s">
        <v>53</v>
      </c>
      <c r="B197" s="12">
        <v>15</v>
      </c>
      <c r="C197" s="12">
        <v>4</v>
      </c>
      <c r="D197" s="50">
        <f>表2[[#This Row],[金额]]-表2[[#This Row],[成本]]</f>
        <v>11</v>
      </c>
      <c r="E197" s="13">
        <v>46090</v>
      </c>
      <c r="F197" s="37" t="s">
        <v>54</v>
      </c>
    </row>
    <row r="198" spans="1:6" ht="22.5" customHeight="1">
      <c r="A198" s="15" t="s">
        <v>176</v>
      </c>
      <c r="B198" s="12">
        <v>220</v>
      </c>
      <c r="C198" s="12">
        <v>75</v>
      </c>
      <c r="D198" s="50">
        <f>表2[[#This Row],[金额]]-表2[[#This Row],[成本]]</f>
        <v>145</v>
      </c>
      <c r="E198" s="13">
        <v>46090</v>
      </c>
      <c r="F198" s="37" t="s">
        <v>54</v>
      </c>
    </row>
    <row r="199" spans="1:6" ht="22.5" customHeight="1">
      <c r="A199" s="15" t="s">
        <v>177</v>
      </c>
      <c r="B199" s="12">
        <v>500</v>
      </c>
      <c r="C199" s="12">
        <v>305</v>
      </c>
      <c r="D199" s="50">
        <f>表2[[#This Row],[金额]]-表2[[#This Row],[成本]]</f>
        <v>195</v>
      </c>
      <c r="E199" s="13">
        <v>46092</v>
      </c>
      <c r="F199" s="37" t="s">
        <v>54</v>
      </c>
    </row>
    <row r="200" spans="1:6" ht="22.5" customHeight="1">
      <c r="A200" s="15" t="s">
        <v>178</v>
      </c>
      <c r="B200" s="12">
        <v>700</v>
      </c>
      <c r="C200" s="12">
        <v>600</v>
      </c>
      <c r="D200" s="50">
        <f>表2[[#This Row],[金额]]-表2[[#This Row],[成本]]</f>
        <v>100</v>
      </c>
      <c r="E200" s="13">
        <v>46092</v>
      </c>
      <c r="F200" s="37" t="s">
        <v>54</v>
      </c>
    </row>
    <row r="201" spans="1:6" ht="22.5" customHeight="1">
      <c r="A201" s="15" t="s">
        <v>179</v>
      </c>
      <c r="B201" s="12">
        <v>800</v>
      </c>
      <c r="C201" s="12">
        <v>720</v>
      </c>
      <c r="D201" s="50">
        <f>表2[[#This Row],[金额]]-表2[[#This Row],[成本]]</f>
        <v>80</v>
      </c>
      <c r="E201" s="13">
        <v>46094</v>
      </c>
      <c r="F201" s="37" t="s">
        <v>54</v>
      </c>
    </row>
    <row r="202" spans="1:6" ht="22.5" customHeight="1">
      <c r="A202" s="15" t="s">
        <v>180</v>
      </c>
      <c r="B202" s="12">
        <v>4572.3999999999996</v>
      </c>
      <c r="C202" s="12">
        <v>4512.3999999999996</v>
      </c>
      <c r="D202" s="50">
        <f>表2[[#This Row],[金额]]-表2[[#This Row],[成本]]</f>
        <v>60</v>
      </c>
      <c r="E202" s="13">
        <v>46094</v>
      </c>
      <c r="F202" s="37" t="s">
        <v>54</v>
      </c>
    </row>
    <row r="203" spans="1:6" ht="22.5" customHeight="1">
      <c r="A203" s="15" t="s">
        <v>181</v>
      </c>
      <c r="B203" s="12">
        <v>1600</v>
      </c>
      <c r="C203" s="12">
        <v>1500</v>
      </c>
      <c r="D203" s="50">
        <f>表2[[#This Row],[金额]]-表2[[#This Row],[成本]]</f>
        <v>100</v>
      </c>
      <c r="E203" s="13">
        <v>46094</v>
      </c>
      <c r="F203" s="37" t="s">
        <v>54</v>
      </c>
    </row>
    <row r="204" spans="1:6" ht="22.5" customHeight="1">
      <c r="A204" s="15" t="s">
        <v>53</v>
      </c>
      <c r="B204" s="12">
        <v>25</v>
      </c>
      <c r="C204" s="12">
        <v>4</v>
      </c>
      <c r="D204" s="50">
        <f>表2[[#This Row],[金额]]-表2[[#This Row],[成本]]</f>
        <v>21</v>
      </c>
      <c r="E204" s="13">
        <v>46095</v>
      </c>
      <c r="F204" s="37" t="s">
        <v>54</v>
      </c>
    </row>
    <row r="205" spans="1:6" ht="22.5" customHeight="1">
      <c r="A205" s="15" t="s">
        <v>53</v>
      </c>
      <c r="B205" s="12">
        <v>15</v>
      </c>
      <c r="C205" s="12">
        <v>2</v>
      </c>
      <c r="D205" s="50">
        <f>表2[[#This Row],[金额]]-表2[[#This Row],[成本]]</f>
        <v>13</v>
      </c>
      <c r="E205" s="13">
        <v>46095</v>
      </c>
      <c r="F205" s="37" t="s">
        <v>54</v>
      </c>
    </row>
    <row r="206" spans="1:6" ht="22.5" customHeight="1">
      <c r="A206" s="15" t="s">
        <v>182</v>
      </c>
      <c r="B206" s="12">
        <v>180</v>
      </c>
      <c r="C206" s="12">
        <f>(76+15)</f>
        <v>91</v>
      </c>
      <c r="D206" s="50">
        <f>表2[[#This Row],[金额]]-表2[[#This Row],[成本]]</f>
        <v>89</v>
      </c>
      <c r="E206" s="13">
        <v>46095</v>
      </c>
      <c r="F206" s="37" t="s">
        <v>54</v>
      </c>
    </row>
    <row r="207" spans="1:6" ht="22.5" customHeight="1">
      <c r="A207" s="15" t="s">
        <v>69</v>
      </c>
      <c r="B207" s="12">
        <v>900</v>
      </c>
      <c r="C207" s="12">
        <v>700</v>
      </c>
      <c r="D207" s="50">
        <f>表2[[#This Row],[金额]]-表2[[#This Row],[成本]]</f>
        <v>200</v>
      </c>
      <c r="E207" s="13">
        <v>46095</v>
      </c>
      <c r="F207" s="37" t="s">
        <v>54</v>
      </c>
    </row>
    <row r="208" spans="1:6" ht="22.5" customHeight="1">
      <c r="A208" s="15" t="s">
        <v>183</v>
      </c>
      <c r="B208" s="12">
        <v>3444</v>
      </c>
      <c r="C208" s="12">
        <v>3384</v>
      </c>
      <c r="D208" s="50">
        <f>表2[[#This Row],[金额]]-表2[[#This Row],[成本]]</f>
        <v>60</v>
      </c>
      <c r="E208" s="13">
        <v>46095</v>
      </c>
      <c r="F208" s="37" t="s">
        <v>54</v>
      </c>
    </row>
    <row r="209" spans="1:6" ht="22.5" customHeight="1">
      <c r="A209" s="15" t="s">
        <v>53</v>
      </c>
      <c r="B209" s="12">
        <v>20</v>
      </c>
      <c r="C209" s="12">
        <v>4</v>
      </c>
      <c r="D209" s="50">
        <f>表2[[#This Row],[金额]]-表2[[#This Row],[成本]]</f>
        <v>16</v>
      </c>
      <c r="E209" s="13">
        <v>46096</v>
      </c>
      <c r="F209" s="37" t="s">
        <v>54</v>
      </c>
    </row>
    <row r="210" spans="1:6" ht="22.5" customHeight="1">
      <c r="A210" s="15" t="s">
        <v>184</v>
      </c>
      <c r="B210" s="12">
        <v>135</v>
      </c>
      <c r="C210" s="12">
        <f>(56+15)</f>
        <v>71</v>
      </c>
      <c r="D210" s="50">
        <f>表2[[#This Row],[金额]]-表2[[#This Row],[成本]]</f>
        <v>64</v>
      </c>
      <c r="E210" s="13">
        <v>46096</v>
      </c>
      <c r="F210" s="37" t="s">
        <v>54</v>
      </c>
    </row>
    <row r="211" spans="1:6" ht="22.5" customHeight="1">
      <c r="A211" s="15" t="s">
        <v>185</v>
      </c>
      <c r="B211" s="12">
        <v>13460</v>
      </c>
      <c r="C211" s="12">
        <v>13400</v>
      </c>
      <c r="D211" s="50">
        <f>表2[[#This Row],[金额]]-表2[[#This Row],[成本]]</f>
        <v>60</v>
      </c>
      <c r="E211" s="13">
        <v>46097</v>
      </c>
      <c r="F211" s="37" t="s">
        <v>54</v>
      </c>
    </row>
    <row r="212" spans="1:6" ht="22.5" customHeight="1">
      <c r="A212" s="67" t="s">
        <v>186</v>
      </c>
      <c r="B212" s="12">
        <v>260</v>
      </c>
      <c r="C212" s="12">
        <v>200</v>
      </c>
      <c r="D212" s="50">
        <f>表2[[#This Row],[金额]]-表2[[#This Row],[成本]]</f>
        <v>60</v>
      </c>
      <c r="E212" s="13">
        <v>46099</v>
      </c>
      <c r="F212" s="37" t="s">
        <v>54</v>
      </c>
    </row>
    <row r="213" spans="1:6" ht="22.5" customHeight="1">
      <c r="A213" s="67" t="s">
        <v>187</v>
      </c>
      <c r="B213" s="12">
        <v>30</v>
      </c>
      <c r="C213" s="12">
        <v>18</v>
      </c>
      <c r="D213" s="50">
        <f>表2[[#This Row],[金额]]-表2[[#This Row],[成本]]</f>
        <v>12</v>
      </c>
      <c r="E213" s="13">
        <v>46099</v>
      </c>
      <c r="F213" s="37" t="s">
        <v>54</v>
      </c>
    </row>
    <row r="214" spans="1:6" ht="22.5" customHeight="1">
      <c r="A214" s="67" t="s">
        <v>60</v>
      </c>
      <c r="B214" s="12">
        <v>25</v>
      </c>
      <c r="C214" s="12">
        <v>4</v>
      </c>
      <c r="D214" s="50">
        <f>表2[[#This Row],[金额]]-表2[[#This Row],[成本]]</f>
        <v>21</v>
      </c>
      <c r="E214" s="13">
        <v>46100</v>
      </c>
      <c r="F214" s="67" t="s">
        <v>54</v>
      </c>
    </row>
    <row r="215" spans="1:6" ht="22.5" customHeight="1">
      <c r="A215" s="67" t="s">
        <v>188</v>
      </c>
      <c r="B215" s="12">
        <v>160</v>
      </c>
      <c r="C215" s="12">
        <f>(64+30)</f>
        <v>94</v>
      </c>
      <c r="D215" s="50">
        <f>表2[[#This Row],[金额]]-表2[[#This Row],[成本]]</f>
        <v>66</v>
      </c>
      <c r="E215" s="13">
        <v>46101</v>
      </c>
      <c r="F215" s="37" t="s">
        <v>54</v>
      </c>
    </row>
    <row r="216" spans="1:6" ht="22.5" customHeight="1">
      <c r="A216" s="67" t="s">
        <v>189</v>
      </c>
      <c r="B216" s="12">
        <v>850</v>
      </c>
      <c r="C216" s="12">
        <v>750</v>
      </c>
      <c r="D216" s="50">
        <f>表2[[#This Row],[金额]]-表2[[#This Row],[成本]]</f>
        <v>100</v>
      </c>
      <c r="E216" s="13">
        <v>46101</v>
      </c>
      <c r="F216" s="37" t="s">
        <v>54</v>
      </c>
    </row>
    <row r="217" spans="1:6" ht="22.5" customHeight="1">
      <c r="A217" s="67" t="s">
        <v>190</v>
      </c>
      <c r="B217" s="12">
        <v>240</v>
      </c>
      <c r="C217" s="12">
        <v>140</v>
      </c>
      <c r="D217" s="50">
        <f>表2[[#This Row],[金额]]-表2[[#This Row],[成本]]</f>
        <v>100</v>
      </c>
      <c r="E217" s="13">
        <v>46101</v>
      </c>
      <c r="F217" s="37" t="s">
        <v>54</v>
      </c>
    </row>
    <row r="218" spans="1:6" ht="22.5" customHeight="1">
      <c r="A218" s="67" t="s">
        <v>191</v>
      </c>
      <c r="B218" s="12">
        <v>600</v>
      </c>
      <c r="C218" s="12">
        <v>600</v>
      </c>
      <c r="D218" s="50">
        <f>表2[[#This Row],[金额]]-表2[[#This Row],[成本]]</f>
        <v>0</v>
      </c>
      <c r="E218" s="13">
        <v>46103</v>
      </c>
      <c r="F218" s="37" t="s">
        <v>54</v>
      </c>
    </row>
    <row r="219" spans="1:6" ht="22.5" customHeight="1">
      <c r="A219" s="67" t="s">
        <v>192</v>
      </c>
      <c r="B219" s="12">
        <v>0</v>
      </c>
      <c r="C219" s="12">
        <v>280</v>
      </c>
      <c r="D219" s="50">
        <f>表2[[#This Row],[金额]]-表2[[#This Row],[成本]]</f>
        <v>-280</v>
      </c>
      <c r="E219" s="13">
        <v>46104</v>
      </c>
      <c r="F219" s="37" t="s">
        <v>54</v>
      </c>
    </row>
    <row r="220" spans="1:6" ht="22.5" customHeight="1">
      <c r="A220" s="67" t="s">
        <v>193</v>
      </c>
      <c r="B220" s="12">
        <v>3600</v>
      </c>
      <c r="C220" s="12">
        <v>3500</v>
      </c>
      <c r="D220" s="50">
        <f>表2[[#This Row],[金额]]-表2[[#This Row],[成本]]</f>
        <v>100</v>
      </c>
      <c r="E220" s="13">
        <v>46105</v>
      </c>
      <c r="F220" s="37" t="s">
        <v>54</v>
      </c>
    </row>
    <row r="221" spans="1:6" ht="22.5" customHeight="1">
      <c r="A221" s="67" t="s">
        <v>194</v>
      </c>
      <c r="B221" s="12">
        <v>30</v>
      </c>
      <c r="C221" s="12">
        <v>6.5</v>
      </c>
      <c r="D221" s="50">
        <f>表2[[#This Row],[金额]]-表2[[#This Row],[成本]]</f>
        <v>23.5</v>
      </c>
      <c r="E221" s="13">
        <v>46105</v>
      </c>
      <c r="F221" s="37" t="s">
        <v>54</v>
      </c>
    </row>
    <row r="222" spans="1:6" ht="22.5" customHeight="1">
      <c r="A222" s="67" t="s">
        <v>60</v>
      </c>
      <c r="B222" s="12">
        <v>25</v>
      </c>
      <c r="C222" s="12">
        <v>4</v>
      </c>
      <c r="D222" s="50">
        <f>表2[[#This Row],[金额]]-表2[[#This Row],[成本]]</f>
        <v>21</v>
      </c>
      <c r="E222" s="13">
        <v>46105</v>
      </c>
      <c r="F222" s="37" t="s">
        <v>54</v>
      </c>
    </row>
    <row r="223" spans="1:6" ht="22.5" customHeight="1">
      <c r="A223" s="15" t="s">
        <v>53</v>
      </c>
      <c r="B223" s="12">
        <v>15</v>
      </c>
      <c r="C223" s="12">
        <v>2</v>
      </c>
      <c r="D223" s="50">
        <f>表2[[#This Row],[金额]]-表2[[#This Row],[成本]]</f>
        <v>13</v>
      </c>
      <c r="E223" s="13">
        <v>46106</v>
      </c>
      <c r="F223" s="37" t="s">
        <v>54</v>
      </c>
    </row>
    <row r="224" spans="1:6" ht="22.5" customHeight="1">
      <c r="A224" s="67" t="s">
        <v>195</v>
      </c>
      <c r="B224" s="12">
        <v>250</v>
      </c>
      <c r="C224" s="12">
        <v>200</v>
      </c>
      <c r="D224" s="50">
        <f>表2[[#This Row],[金额]]-表2[[#This Row],[成本]]</f>
        <v>50</v>
      </c>
      <c r="E224" s="13">
        <v>46107</v>
      </c>
      <c r="F224" s="37" t="s">
        <v>54</v>
      </c>
    </row>
    <row r="225" spans="1:6" ht="22.5" customHeight="1">
      <c r="A225" s="15" t="s">
        <v>53</v>
      </c>
      <c r="B225" s="12">
        <v>15</v>
      </c>
      <c r="C225" s="12">
        <v>2</v>
      </c>
      <c r="D225" s="50">
        <f>表2[[#This Row],[金额]]-表2[[#This Row],[成本]]</f>
        <v>13</v>
      </c>
      <c r="E225" s="13">
        <v>46108</v>
      </c>
      <c r="F225" s="37" t="s">
        <v>54</v>
      </c>
    </row>
    <row r="226" spans="1:6" ht="22.5" customHeight="1">
      <c r="A226" s="67" t="s">
        <v>196</v>
      </c>
      <c r="B226" s="12">
        <v>200</v>
      </c>
      <c r="C226" s="12">
        <v>200</v>
      </c>
      <c r="D226" s="50">
        <f>表2[[#This Row],[金额]]-表2[[#This Row],[成本]]</f>
        <v>0</v>
      </c>
      <c r="E226" s="13">
        <v>46108</v>
      </c>
      <c r="F226" s="37" t="s">
        <v>54</v>
      </c>
    </row>
    <row r="227" spans="1:6" ht="22.5" customHeight="1">
      <c r="A227" s="67" t="s">
        <v>132</v>
      </c>
      <c r="B227" s="12">
        <v>650</v>
      </c>
      <c r="C227" s="12">
        <v>600</v>
      </c>
      <c r="D227" s="50">
        <f>表2[[#This Row],[金额]]-表2[[#This Row],[成本]]</f>
        <v>50</v>
      </c>
      <c r="E227" s="13">
        <v>46108</v>
      </c>
      <c r="F227" s="37" t="s">
        <v>54</v>
      </c>
    </row>
    <row r="228" spans="1:6" ht="22.5" customHeight="1">
      <c r="A228" s="15" t="s">
        <v>197</v>
      </c>
      <c r="B228" s="12">
        <v>310</v>
      </c>
      <c r="C228" s="12">
        <v>110</v>
      </c>
      <c r="D228" s="50">
        <f>表2[[#This Row],[金额]]-表2[[#This Row],[成本]]</f>
        <v>200</v>
      </c>
      <c r="E228" s="13">
        <v>46109</v>
      </c>
      <c r="F228" s="37" t="s">
        <v>54</v>
      </c>
    </row>
    <row r="229" spans="1:6" ht="22.5" customHeight="1">
      <c r="A229" s="67" t="s">
        <v>114</v>
      </c>
      <c r="B229" s="12">
        <v>3350</v>
      </c>
      <c r="C229" s="12">
        <v>3200</v>
      </c>
      <c r="D229" s="50">
        <f>表2[[#This Row],[金额]]-表2[[#This Row],[成本]]</f>
        <v>150</v>
      </c>
      <c r="E229" s="13">
        <v>46110</v>
      </c>
      <c r="F229" s="37" t="s">
        <v>54</v>
      </c>
    </row>
    <row r="230" spans="1:6" ht="22.5" customHeight="1">
      <c r="A230" s="67" t="s">
        <v>198</v>
      </c>
      <c r="B230" s="12">
        <v>5900</v>
      </c>
      <c r="C230" s="12">
        <v>5800</v>
      </c>
      <c r="D230" s="50">
        <f>表2[[#This Row],[金额]]-表2[[#This Row],[成本]]</f>
        <v>100</v>
      </c>
      <c r="E230" s="13">
        <v>46111</v>
      </c>
      <c r="F230" s="37" t="s">
        <v>54</v>
      </c>
    </row>
    <row r="231" spans="1:6" ht="22.5" customHeight="1">
      <c r="A231" s="15" t="s">
        <v>199</v>
      </c>
      <c r="B231" s="12">
        <v>1900</v>
      </c>
      <c r="C231" s="12">
        <v>1800</v>
      </c>
      <c r="D231" s="50">
        <f>表2[[#This Row],[金额]]-表2[[#This Row],[成本]]</f>
        <v>100</v>
      </c>
      <c r="E231" s="13">
        <v>46113</v>
      </c>
      <c r="F231" s="37" t="s">
        <v>54</v>
      </c>
    </row>
    <row r="232" spans="1:6" ht="22.5" customHeight="1">
      <c r="A232" s="67" t="s">
        <v>78</v>
      </c>
      <c r="B232" s="12">
        <v>7380</v>
      </c>
      <c r="C232" s="12">
        <v>7280</v>
      </c>
      <c r="D232" s="50">
        <f>表2[[#This Row],[金额]]-表2[[#This Row],[成本]]</f>
        <v>100</v>
      </c>
      <c r="E232" s="13">
        <v>46114</v>
      </c>
      <c r="F232" s="37" t="s">
        <v>54</v>
      </c>
    </row>
    <row r="233" spans="1:6" ht="22.5" customHeight="1">
      <c r="A233" s="67" t="s">
        <v>200</v>
      </c>
      <c r="B233" s="12">
        <v>1093.4000000000001</v>
      </c>
      <c r="C233" s="12">
        <v>1033.4000000000001</v>
      </c>
      <c r="D233" s="50">
        <f>表2[[#This Row],[金额]]-表2[[#This Row],[成本]]</f>
        <v>60</v>
      </c>
      <c r="E233" s="13">
        <v>46114</v>
      </c>
      <c r="F233" s="37" t="s">
        <v>54</v>
      </c>
    </row>
    <row r="234" spans="1:6" ht="22.5" customHeight="1">
      <c r="A234" s="15" t="s">
        <v>53</v>
      </c>
      <c r="B234" s="12">
        <v>15</v>
      </c>
      <c r="C234" s="12">
        <v>2</v>
      </c>
      <c r="D234" s="50">
        <f>表2[[#This Row],[金额]]-表2[[#This Row],[成本]]</f>
        <v>13</v>
      </c>
      <c r="E234" s="13">
        <v>46115</v>
      </c>
      <c r="F234" s="37" t="s">
        <v>54</v>
      </c>
    </row>
    <row r="235" spans="1:6" ht="22.5" customHeight="1">
      <c r="A235" s="15" t="s">
        <v>201</v>
      </c>
      <c r="B235" s="12">
        <v>1540.7</v>
      </c>
      <c r="C235" s="12">
        <v>1480.7</v>
      </c>
      <c r="D235" s="50">
        <f>表2[[#This Row],[金额]]-表2[[#This Row],[成本]]</f>
        <v>60</v>
      </c>
      <c r="E235" s="13">
        <v>46116</v>
      </c>
      <c r="F235" s="37" t="s">
        <v>54</v>
      </c>
    </row>
    <row r="236" spans="1:6" ht="22.5" customHeight="1">
      <c r="A236" s="15" t="s">
        <v>202</v>
      </c>
      <c r="B236" s="12">
        <v>1280</v>
      </c>
      <c r="C236" s="12">
        <v>1250</v>
      </c>
      <c r="D236" s="50">
        <f>表2[[#This Row],[金额]]-表2[[#This Row],[成本]]</f>
        <v>30</v>
      </c>
      <c r="E236" s="13">
        <v>46116</v>
      </c>
      <c r="F236" s="37" t="s">
        <v>54</v>
      </c>
    </row>
    <row r="237" spans="1:6" ht="22.5" customHeight="1">
      <c r="A237" s="67" t="s">
        <v>203</v>
      </c>
      <c r="B237" s="12">
        <v>6080</v>
      </c>
      <c r="C237" s="12">
        <v>6000</v>
      </c>
      <c r="D237" s="50">
        <f>表2[[#This Row],[金额]]-表2[[#This Row],[成本]]</f>
        <v>80</v>
      </c>
      <c r="E237" s="13">
        <v>46117</v>
      </c>
      <c r="F237" s="37" t="s">
        <v>54</v>
      </c>
    </row>
    <row r="238" spans="1:6" ht="22.5" customHeight="1">
      <c r="A238" s="67" t="s">
        <v>87</v>
      </c>
      <c r="B238" s="12">
        <v>6300</v>
      </c>
      <c r="C238" s="12">
        <v>6200</v>
      </c>
      <c r="D238" s="50">
        <f>表2[[#This Row],[金额]]-表2[[#This Row],[成本]]</f>
        <v>100</v>
      </c>
      <c r="E238" s="13">
        <v>46118</v>
      </c>
      <c r="F238" s="37" t="s">
        <v>54</v>
      </c>
    </row>
    <row r="239" spans="1:6" ht="22.5" customHeight="1">
      <c r="A239" s="67" t="s">
        <v>87</v>
      </c>
      <c r="B239" s="12">
        <v>4300</v>
      </c>
      <c r="C239" s="12">
        <v>4200</v>
      </c>
      <c r="D239" s="50">
        <f>表2[[#This Row],[金额]]-表2[[#This Row],[成本]]</f>
        <v>100</v>
      </c>
      <c r="E239" s="13">
        <v>46118</v>
      </c>
      <c r="F239" s="37" t="s">
        <v>54</v>
      </c>
    </row>
    <row r="240" spans="1:6" ht="22.5" customHeight="1">
      <c r="A240" s="67" t="s">
        <v>53</v>
      </c>
      <c r="B240" s="12">
        <v>15</v>
      </c>
      <c r="C240" s="12">
        <v>2</v>
      </c>
      <c r="D240" s="50">
        <f>表2[[#This Row],[金额]]-表2[[#This Row],[成本]]</f>
        <v>13</v>
      </c>
      <c r="E240" s="13">
        <v>46120</v>
      </c>
      <c r="F240" s="37" t="s">
        <v>54</v>
      </c>
    </row>
    <row r="241" spans="1:6" ht="22.5" customHeight="1">
      <c r="A241" s="15" t="s">
        <v>60</v>
      </c>
      <c r="B241" s="12">
        <v>25</v>
      </c>
      <c r="C241" s="12">
        <v>4</v>
      </c>
      <c r="D241" s="50">
        <f>表2[[#This Row],[金额]]-表2[[#This Row],[成本]]</f>
        <v>21</v>
      </c>
      <c r="E241" s="13">
        <v>46120</v>
      </c>
      <c r="F241" s="67" t="s">
        <v>54</v>
      </c>
    </row>
    <row r="242" spans="1:6" ht="22.5" customHeight="1">
      <c r="A242" s="67" t="s">
        <v>53</v>
      </c>
      <c r="B242" s="12">
        <v>20</v>
      </c>
      <c r="C242" s="12">
        <v>4</v>
      </c>
      <c r="D242" s="50">
        <f>表2[[#This Row],[金额]]-表2[[#This Row],[成本]]</f>
        <v>16</v>
      </c>
      <c r="E242" s="13">
        <v>46121</v>
      </c>
      <c r="F242" s="37" t="s">
        <v>54</v>
      </c>
    </row>
    <row r="243" spans="1:6" ht="22.5" customHeight="1">
      <c r="A243" s="67" t="s">
        <v>53</v>
      </c>
      <c r="B243" s="12">
        <v>25</v>
      </c>
      <c r="C243" s="12">
        <v>4</v>
      </c>
      <c r="D243" s="50">
        <f>表2[[#This Row],[金额]]-表2[[#This Row],[成本]]</f>
        <v>21</v>
      </c>
      <c r="E243" s="13">
        <v>46123</v>
      </c>
      <c r="F243" s="37" t="s">
        <v>54</v>
      </c>
    </row>
    <row r="244" spans="1:6" ht="22.5" customHeight="1">
      <c r="A244" s="15" t="s">
        <v>63</v>
      </c>
      <c r="B244" s="12">
        <v>30</v>
      </c>
      <c r="C244" s="12">
        <v>18</v>
      </c>
      <c r="D244" s="50">
        <f>表2[[#This Row],[金额]]-表2[[#This Row],[成本]]</f>
        <v>12</v>
      </c>
      <c r="E244" s="13">
        <v>46123</v>
      </c>
      <c r="F244" s="37" t="s">
        <v>54</v>
      </c>
    </row>
    <row r="245" spans="1:6" ht="22.5" customHeight="1">
      <c r="A245" s="15" t="s">
        <v>204</v>
      </c>
      <c r="B245" s="12">
        <v>130</v>
      </c>
      <c r="C245" s="12">
        <v>65</v>
      </c>
      <c r="D245" s="50">
        <f>表2[[#This Row],[金额]]-表2[[#This Row],[成本]]</f>
        <v>65</v>
      </c>
      <c r="E245" s="13">
        <v>46123</v>
      </c>
      <c r="F245" s="37" t="s">
        <v>54</v>
      </c>
    </row>
    <row r="246" spans="1:6" ht="22.5" customHeight="1">
      <c r="A246" s="67" t="s">
        <v>205</v>
      </c>
      <c r="B246" s="12">
        <v>0</v>
      </c>
      <c r="C246" s="12">
        <v>15</v>
      </c>
      <c r="D246" s="50">
        <f>表2[[#This Row],[金额]]-表2[[#This Row],[成本]]</f>
        <v>-15</v>
      </c>
      <c r="E246" s="13">
        <v>46123</v>
      </c>
      <c r="F246" s="37" t="s">
        <v>54</v>
      </c>
    </row>
    <row r="247" spans="1:6" ht="22.5" customHeight="1">
      <c r="A247" s="15" t="s">
        <v>129</v>
      </c>
      <c r="B247" s="12">
        <v>1150</v>
      </c>
      <c r="C247" s="12">
        <v>1050</v>
      </c>
      <c r="D247" s="50">
        <f>表2[[#This Row],[金额]]-表2[[#This Row],[成本]]</f>
        <v>100</v>
      </c>
      <c r="E247" s="13">
        <v>46124</v>
      </c>
      <c r="F247" s="37" t="s">
        <v>54</v>
      </c>
    </row>
    <row r="248" spans="1:6" ht="22.5" customHeight="1">
      <c r="A248" s="15" t="s">
        <v>526</v>
      </c>
      <c r="B248" s="12">
        <v>9550</v>
      </c>
      <c r="C248" s="12">
        <v>9400</v>
      </c>
      <c r="D248" s="50">
        <f>表2[[#This Row],[金额]]-表2[[#This Row],[成本]]</f>
        <v>150</v>
      </c>
      <c r="E248" s="13">
        <v>46124</v>
      </c>
      <c r="F248" s="37" t="s">
        <v>54</v>
      </c>
    </row>
    <row r="249" spans="1:6" ht="22.5" customHeight="1">
      <c r="A249" s="67" t="s">
        <v>206</v>
      </c>
      <c r="B249" s="12">
        <v>570.72</v>
      </c>
      <c r="C249" s="12">
        <v>510.72</v>
      </c>
      <c r="D249" s="50">
        <f>表2[[#This Row],[金额]]-表2[[#This Row],[成本]]</f>
        <v>60</v>
      </c>
      <c r="E249" s="13">
        <v>46124</v>
      </c>
      <c r="F249" s="37" t="s">
        <v>54</v>
      </c>
    </row>
    <row r="250" spans="1:6" ht="22.5" customHeight="1">
      <c r="A250" s="15" t="s">
        <v>207</v>
      </c>
      <c r="B250" s="12">
        <v>2400</v>
      </c>
      <c r="C250" s="12">
        <v>2300</v>
      </c>
      <c r="D250" s="50">
        <f>表2[[#This Row],[金额]]-表2[[#This Row],[成本]]</f>
        <v>100</v>
      </c>
      <c r="E250" s="13">
        <v>46124</v>
      </c>
      <c r="F250" s="37" t="s">
        <v>54</v>
      </c>
    </row>
    <row r="251" spans="1:6" ht="22.5" customHeight="1">
      <c r="A251" s="67" t="s">
        <v>208</v>
      </c>
      <c r="B251" s="12">
        <v>530</v>
      </c>
      <c r="C251" s="12">
        <v>400</v>
      </c>
      <c r="D251" s="50">
        <f>表2[[#This Row],[金额]]-表2[[#This Row],[成本]]</f>
        <v>130</v>
      </c>
      <c r="E251" s="13">
        <v>46125</v>
      </c>
      <c r="F251" s="37" t="s">
        <v>54</v>
      </c>
    </row>
    <row r="252" spans="1:6" ht="22.5" customHeight="1">
      <c r="A252" s="15" t="s">
        <v>53</v>
      </c>
      <c r="B252" s="12">
        <v>25</v>
      </c>
      <c r="C252" s="12">
        <v>4</v>
      </c>
      <c r="D252" s="50">
        <f>表2[[#This Row],[金额]]-表2[[#This Row],[成本]]</f>
        <v>21</v>
      </c>
      <c r="E252" s="13">
        <v>46125</v>
      </c>
      <c r="F252" s="37" t="s">
        <v>54</v>
      </c>
    </row>
    <row r="253" spans="1:6" ht="22.5" customHeight="1">
      <c r="A253" s="15" t="s">
        <v>209</v>
      </c>
      <c r="B253" s="12">
        <v>3500</v>
      </c>
      <c r="C253" s="12">
        <f>(3500-150)</f>
        <v>3350</v>
      </c>
      <c r="D253" s="50">
        <f>表2[[#This Row],[金额]]-表2[[#This Row],[成本]]</f>
        <v>150</v>
      </c>
      <c r="E253" s="13">
        <v>46127</v>
      </c>
      <c r="F253" s="37" t="s">
        <v>54</v>
      </c>
    </row>
    <row r="254" spans="1:6" ht="22.5" customHeight="1">
      <c r="A254" s="15" t="s">
        <v>210</v>
      </c>
      <c r="B254" s="12">
        <v>351</v>
      </c>
      <c r="C254" s="12">
        <v>580</v>
      </c>
      <c r="D254" s="50">
        <f>表2[[#This Row],[金额]]-表2[[#This Row],[成本]]</f>
        <v>-229</v>
      </c>
      <c r="E254" s="13">
        <v>46127</v>
      </c>
      <c r="F254" s="37" t="s">
        <v>54</v>
      </c>
    </row>
    <row r="255" spans="1:6" ht="22.5" customHeight="1">
      <c r="A255" s="67" t="s">
        <v>53</v>
      </c>
      <c r="B255" s="12">
        <v>15</v>
      </c>
      <c r="C255" s="12">
        <v>2</v>
      </c>
      <c r="D255" s="50">
        <f>表2[[#This Row],[金额]]-表2[[#This Row],[成本]]</f>
        <v>13</v>
      </c>
      <c r="E255" s="13">
        <v>46127</v>
      </c>
      <c r="F255" s="37" t="s">
        <v>54</v>
      </c>
    </row>
    <row r="256" spans="1:6" ht="22.5" customHeight="1">
      <c r="A256" s="15" t="s">
        <v>211</v>
      </c>
      <c r="B256" s="12">
        <v>4500</v>
      </c>
      <c r="C256" s="12">
        <v>4350</v>
      </c>
      <c r="D256" s="50">
        <f>表2[[#This Row],[金额]]-表2[[#This Row],[成本]]</f>
        <v>150</v>
      </c>
      <c r="E256" s="13">
        <v>46128</v>
      </c>
      <c r="F256" s="37" t="s">
        <v>54</v>
      </c>
    </row>
    <row r="257" spans="1:6" ht="22.5" customHeight="1">
      <c r="A257" s="15" t="s">
        <v>74</v>
      </c>
      <c r="B257" s="12">
        <v>380</v>
      </c>
      <c r="C257" s="12">
        <f>(265+15)</f>
        <v>280</v>
      </c>
      <c r="D257" s="50">
        <f>表2[[#This Row],[金额]]-表2[[#This Row],[成本]]</f>
        <v>100</v>
      </c>
      <c r="E257" s="13">
        <v>46128</v>
      </c>
      <c r="F257" s="37" t="s">
        <v>54</v>
      </c>
    </row>
    <row r="258" spans="1:6" ht="22.5" customHeight="1">
      <c r="A258" s="15" t="s">
        <v>117</v>
      </c>
      <c r="B258" s="12">
        <v>1600</v>
      </c>
      <c r="C258" s="12">
        <v>1600</v>
      </c>
      <c r="D258" s="50">
        <f>表2[[#This Row],[金额]]-表2[[#This Row],[成本]]</f>
        <v>0</v>
      </c>
      <c r="E258" s="13">
        <v>46128</v>
      </c>
      <c r="F258" s="37" t="s">
        <v>54</v>
      </c>
    </row>
    <row r="259" spans="1:6" ht="22.5" customHeight="1">
      <c r="A259" s="15" t="s">
        <v>212</v>
      </c>
      <c r="B259" s="12">
        <v>3200</v>
      </c>
      <c r="C259" s="12">
        <v>3200</v>
      </c>
      <c r="D259" s="50">
        <f>表2[[#This Row],[金额]]-表2[[#This Row],[成本]]</f>
        <v>0</v>
      </c>
      <c r="E259" s="13">
        <v>46128</v>
      </c>
      <c r="F259" s="37" t="s">
        <v>54</v>
      </c>
    </row>
    <row r="260" spans="1:6" ht="22.5" customHeight="1">
      <c r="A260" s="67" t="s">
        <v>53</v>
      </c>
      <c r="B260" s="12">
        <v>15</v>
      </c>
      <c r="C260" s="12">
        <v>2</v>
      </c>
      <c r="D260" s="50">
        <f>表2[[#This Row],[金额]]-表2[[#This Row],[成本]]</f>
        <v>13</v>
      </c>
      <c r="E260" s="13">
        <v>46129</v>
      </c>
      <c r="F260" s="37" t="s">
        <v>54</v>
      </c>
    </row>
    <row r="261" spans="1:6" ht="22.5" customHeight="1">
      <c r="A261" s="15" t="s">
        <v>213</v>
      </c>
      <c r="B261" s="12">
        <v>120</v>
      </c>
      <c r="C261" s="12">
        <f>(35+15*2)</f>
        <v>65</v>
      </c>
      <c r="D261" s="50">
        <f>表2[[#This Row],[金额]]-表2[[#This Row],[成本]]</f>
        <v>55</v>
      </c>
      <c r="E261" s="13">
        <v>46130</v>
      </c>
      <c r="F261" s="37" t="s">
        <v>54</v>
      </c>
    </row>
    <row r="262" spans="1:6" ht="22.5" customHeight="1">
      <c r="A262" s="15" t="s">
        <v>214</v>
      </c>
      <c r="B262" s="12">
        <v>500</v>
      </c>
      <c r="C262" s="12">
        <v>300</v>
      </c>
      <c r="D262" s="50">
        <f>表2[[#This Row],[金额]]-表2[[#This Row],[成本]]</f>
        <v>200</v>
      </c>
      <c r="E262" s="13">
        <v>46130</v>
      </c>
      <c r="F262" s="37" t="s">
        <v>54</v>
      </c>
    </row>
    <row r="263" spans="1:6" ht="22.5" customHeight="1">
      <c r="A263" s="15" t="s">
        <v>114</v>
      </c>
      <c r="B263" s="12">
        <v>3800</v>
      </c>
      <c r="C263" s="12">
        <v>3750</v>
      </c>
      <c r="D263" s="50">
        <f>表2[[#This Row],[金额]]-表2[[#This Row],[成本]]</f>
        <v>50</v>
      </c>
      <c r="E263" s="13">
        <v>46131</v>
      </c>
      <c r="F263" s="37" t="s">
        <v>54</v>
      </c>
    </row>
    <row r="264" spans="1:6" ht="22.5" customHeight="1">
      <c r="A264" s="67" t="s">
        <v>53</v>
      </c>
      <c r="B264" s="12">
        <v>15</v>
      </c>
      <c r="C264" s="12">
        <v>2</v>
      </c>
      <c r="D264" s="50">
        <f>表2[[#This Row],[金额]]-表2[[#This Row],[成本]]</f>
        <v>13</v>
      </c>
      <c r="E264" s="13">
        <v>46131</v>
      </c>
      <c r="F264" s="37" t="s">
        <v>54</v>
      </c>
    </row>
    <row r="265" spans="1:6" ht="22.5" customHeight="1">
      <c r="A265" s="15" t="s">
        <v>215</v>
      </c>
      <c r="B265" s="12">
        <v>590.4</v>
      </c>
      <c r="C265" s="12">
        <v>530.4</v>
      </c>
      <c r="D265" s="50">
        <f>表2[[#This Row],[金额]]-表2[[#This Row],[成本]]</f>
        <v>60</v>
      </c>
      <c r="E265" s="13">
        <v>46138</v>
      </c>
      <c r="F265" s="37" t="s">
        <v>54</v>
      </c>
    </row>
    <row r="266" spans="1:6" ht="22.5" customHeight="1">
      <c r="A266" s="15" t="s">
        <v>216</v>
      </c>
      <c r="B266" s="12">
        <v>590.4</v>
      </c>
      <c r="C266" s="12">
        <v>530.4</v>
      </c>
      <c r="D266" s="50">
        <f>表2[[#This Row],[金额]]-表2[[#This Row],[成本]]</f>
        <v>60</v>
      </c>
      <c r="E266" s="13">
        <v>46139</v>
      </c>
      <c r="F266" s="37" t="s">
        <v>54</v>
      </c>
    </row>
    <row r="267" spans="1:6" ht="22.5" customHeight="1">
      <c r="A267" s="15" t="s">
        <v>185</v>
      </c>
      <c r="B267" s="12">
        <v>9150</v>
      </c>
      <c r="C267" s="12">
        <v>9050</v>
      </c>
      <c r="D267" s="50">
        <f>表2[[#This Row],[金额]]-表2[[#This Row],[成本]]</f>
        <v>100</v>
      </c>
      <c r="E267" s="13">
        <v>46142</v>
      </c>
      <c r="F267" s="37" t="s">
        <v>54</v>
      </c>
    </row>
    <row r="268" spans="1:6" ht="22.5" customHeight="1">
      <c r="A268" s="15" t="s">
        <v>527</v>
      </c>
      <c r="B268" s="12">
        <v>0</v>
      </c>
      <c r="C268" s="12">
        <v>100</v>
      </c>
      <c r="D268" s="50">
        <f>表2[[#This Row],[金额]]-表2[[#This Row],[成本]]</f>
        <v>-100</v>
      </c>
      <c r="E268" s="13">
        <v>46143</v>
      </c>
      <c r="F268" s="37" t="s">
        <v>54</v>
      </c>
    </row>
    <row r="269" spans="1:6" ht="22.5" customHeight="1">
      <c r="A269" s="15" t="s">
        <v>528</v>
      </c>
      <c r="B269" s="12">
        <v>0</v>
      </c>
      <c r="C269" s="12">
        <v>296</v>
      </c>
      <c r="D269" s="50">
        <f>表2[[#This Row],[金额]]-表2[[#This Row],[成本]]</f>
        <v>-296</v>
      </c>
      <c r="E269" s="13">
        <v>46143</v>
      </c>
      <c r="F269" s="37" t="s">
        <v>54</v>
      </c>
    </row>
    <row r="270" spans="1:6" ht="22.5" customHeight="1">
      <c r="A270" s="15" t="s">
        <v>529</v>
      </c>
      <c r="B270" s="12">
        <v>550</v>
      </c>
      <c r="C270" s="12">
        <v>500</v>
      </c>
      <c r="D270" s="50">
        <f>表2[[#This Row],[金额]]-表2[[#This Row],[成本]]</f>
        <v>50</v>
      </c>
      <c r="E270" s="13">
        <v>46144</v>
      </c>
      <c r="F270" s="37" t="s">
        <v>54</v>
      </c>
    </row>
    <row r="271" spans="1:6" ht="22.5" customHeight="1">
      <c r="A271" s="15" t="s">
        <v>530</v>
      </c>
      <c r="B271" s="12">
        <v>80</v>
      </c>
      <c r="C271" s="12">
        <v>80</v>
      </c>
      <c r="D271" s="50">
        <f>表2[[#This Row],[金额]]-表2[[#This Row],[成本]]</f>
        <v>0</v>
      </c>
      <c r="E271" s="13">
        <v>46144</v>
      </c>
      <c r="F271" s="65"/>
    </row>
    <row r="272" spans="1:6" ht="22.5" customHeight="1">
      <c r="A272" s="67" t="s">
        <v>53</v>
      </c>
      <c r="B272" s="12">
        <v>15</v>
      </c>
      <c r="C272" s="12">
        <v>2</v>
      </c>
      <c r="D272" s="50">
        <f>表2[[#This Row],[金额]]-表2[[#This Row],[成本]]</f>
        <v>13</v>
      </c>
      <c r="E272" s="13">
        <v>46145</v>
      </c>
      <c r="F272" s="37" t="s">
        <v>54</v>
      </c>
    </row>
    <row r="273" spans="1:6" ht="22.5" customHeight="1">
      <c r="A273" s="15" t="s">
        <v>534</v>
      </c>
      <c r="B273" s="12">
        <v>160</v>
      </c>
      <c r="C273" s="12">
        <v>80</v>
      </c>
      <c r="D273" s="50">
        <f>表2[[#This Row],[金额]]-表2[[#This Row],[成本]]</f>
        <v>80</v>
      </c>
      <c r="E273" s="13">
        <v>46148</v>
      </c>
      <c r="F273" s="37" t="s">
        <v>54</v>
      </c>
    </row>
    <row r="274" spans="1:6" ht="22.5" customHeight="1">
      <c r="A274" s="15" t="s">
        <v>535</v>
      </c>
      <c r="B274" s="12">
        <v>1650</v>
      </c>
      <c r="C274" s="12">
        <v>1590</v>
      </c>
      <c r="D274" s="50">
        <f>表2[[#This Row],[金额]]-表2[[#This Row],[成本]]</f>
        <v>60</v>
      </c>
      <c r="E274" s="13">
        <v>46148</v>
      </c>
      <c r="F274" s="37" t="s">
        <v>54</v>
      </c>
    </row>
    <row r="275" spans="1:6" ht="22.5" customHeight="1">
      <c r="A275" s="15" t="s">
        <v>540</v>
      </c>
      <c r="B275" s="12">
        <v>0</v>
      </c>
      <c r="C275" s="12">
        <v>9.9</v>
      </c>
      <c r="D275" s="50">
        <f>表2[[#This Row],[金额]]-表2[[#This Row],[成本]]</f>
        <v>-9.9</v>
      </c>
      <c r="E275" s="13">
        <v>46150</v>
      </c>
      <c r="F275" s="37" t="s">
        <v>54</v>
      </c>
    </row>
    <row r="276" spans="1:6" ht="22.5" customHeight="1">
      <c r="A276" s="15" t="s">
        <v>542</v>
      </c>
      <c r="B276" s="12">
        <v>12600</v>
      </c>
      <c r="C276" s="12">
        <v>12315</v>
      </c>
      <c r="D276" s="50">
        <f>表2[[#This Row],[金额]]-表2[[#This Row],[成本]]</f>
        <v>285</v>
      </c>
      <c r="E276" s="13">
        <v>46151</v>
      </c>
      <c r="F276" s="37" t="s">
        <v>54</v>
      </c>
    </row>
    <row r="277" spans="1:6" ht="22.5" customHeight="1">
      <c r="A277" s="67" t="s">
        <v>53</v>
      </c>
      <c r="B277" s="12">
        <v>25</v>
      </c>
      <c r="C277" s="12">
        <v>2</v>
      </c>
      <c r="D277" s="50">
        <f>表2[[#This Row],[金额]]-表2[[#This Row],[成本]]</f>
        <v>23</v>
      </c>
      <c r="E277" s="13">
        <v>46151</v>
      </c>
      <c r="F277" s="37" t="s">
        <v>54</v>
      </c>
    </row>
    <row r="278" spans="1:6" ht="22.5" customHeight="1">
      <c r="A278" s="67" t="s">
        <v>60</v>
      </c>
      <c r="B278" s="12">
        <v>20</v>
      </c>
      <c r="C278" s="12">
        <v>2</v>
      </c>
      <c r="D278" s="50">
        <f>表2[[#This Row],[金额]]-表2[[#This Row],[成本]]</f>
        <v>18</v>
      </c>
      <c r="E278" s="13">
        <v>46151</v>
      </c>
      <c r="F278" s="37" t="s">
        <v>54</v>
      </c>
    </row>
    <row r="279" spans="1:6" ht="22.5" customHeight="1">
      <c r="A279" s="15" t="s">
        <v>100</v>
      </c>
      <c r="B279" s="12">
        <v>350</v>
      </c>
      <c r="C279" s="12">
        <v>350</v>
      </c>
      <c r="D279" s="50">
        <f>表2[[#This Row],[金额]]-表2[[#This Row],[成本]]</f>
        <v>0</v>
      </c>
      <c r="E279" s="13">
        <v>46151</v>
      </c>
      <c r="F279" s="37" t="s">
        <v>54</v>
      </c>
    </row>
    <row r="280" spans="1:6" ht="22.5" customHeight="1">
      <c r="A280" s="67" t="s">
        <v>53</v>
      </c>
      <c r="B280" s="12">
        <v>25</v>
      </c>
      <c r="C280" s="12">
        <v>2</v>
      </c>
      <c r="D280" s="50">
        <f>表2[[#This Row],[金额]]-表2[[#This Row],[成本]]</f>
        <v>23</v>
      </c>
      <c r="E280" s="13">
        <v>46152</v>
      </c>
      <c r="F280" s="37" t="s">
        <v>54</v>
      </c>
    </row>
    <row r="281" spans="1:6" ht="22.5" customHeight="1">
      <c r="A281" s="15" t="s">
        <v>129</v>
      </c>
      <c r="B281" s="12">
        <v>800</v>
      </c>
      <c r="C281" s="12">
        <v>800</v>
      </c>
      <c r="D281" s="50">
        <f>表2[[#This Row],[金额]]-表2[[#This Row],[成本]]</f>
        <v>0</v>
      </c>
      <c r="E281" s="13">
        <v>46153</v>
      </c>
      <c r="F281" s="37" t="s">
        <v>54</v>
      </c>
    </row>
    <row r="282" spans="1:6" ht="22.5" customHeight="1">
      <c r="A282" s="67" t="s">
        <v>60</v>
      </c>
      <c r="B282" s="12">
        <v>20</v>
      </c>
      <c r="C282" s="12">
        <v>2</v>
      </c>
      <c r="D282" s="50">
        <f>表2[[#This Row],[金额]]-表2[[#This Row],[成本]]</f>
        <v>18</v>
      </c>
      <c r="E282" s="13">
        <v>46153</v>
      </c>
      <c r="F282" s="37" t="s">
        <v>54</v>
      </c>
    </row>
    <row r="283" spans="1:6" ht="22.5" customHeight="1">
      <c r="A283" s="67" t="s">
        <v>53</v>
      </c>
      <c r="B283" s="12">
        <v>15</v>
      </c>
      <c r="C283" s="12">
        <v>2</v>
      </c>
      <c r="D283" s="50">
        <f>表2[[#This Row],[金额]]-表2[[#This Row],[成本]]</f>
        <v>13</v>
      </c>
      <c r="E283" s="13">
        <v>46153</v>
      </c>
      <c r="F283" s="37" t="s">
        <v>54</v>
      </c>
    </row>
    <row r="284" spans="1:6" ht="22.5" customHeight="1">
      <c r="A284" s="15" t="s">
        <v>544</v>
      </c>
      <c r="B284" s="12">
        <v>1285</v>
      </c>
      <c r="C284" s="12">
        <v>1225</v>
      </c>
      <c r="D284" s="50">
        <f>表2[[#This Row],[金额]]-表2[[#This Row],[成本]]</f>
        <v>60</v>
      </c>
      <c r="E284" s="13">
        <v>46154</v>
      </c>
      <c r="F284" s="37" t="s">
        <v>54</v>
      </c>
    </row>
    <row r="285" spans="1:6" ht="22.5" customHeight="1">
      <c r="A285" s="15" t="s">
        <v>548</v>
      </c>
      <c r="B285" s="12">
        <v>4350</v>
      </c>
      <c r="C285" s="12">
        <v>4250</v>
      </c>
      <c r="D285" s="50">
        <f>表2[[#This Row],[金额]]-表2[[#This Row],[成本]]</f>
        <v>100</v>
      </c>
      <c r="E285" s="13">
        <v>46156</v>
      </c>
      <c r="F285" s="37" t="s">
        <v>54</v>
      </c>
    </row>
    <row r="286" spans="1:6" ht="22.5" customHeight="1">
      <c r="A286" s="15" t="s">
        <v>545</v>
      </c>
      <c r="B286" s="12">
        <v>6300</v>
      </c>
      <c r="C286" s="12">
        <v>6100</v>
      </c>
      <c r="D286" s="50">
        <f>表2[[#This Row],[金额]]-表2[[#This Row],[成本]]</f>
        <v>200</v>
      </c>
      <c r="E286" s="13">
        <v>46155</v>
      </c>
      <c r="F286" s="37" t="s">
        <v>54</v>
      </c>
    </row>
    <row r="287" spans="1:6" ht="22.5" customHeight="1">
      <c r="A287" s="15" t="s">
        <v>549</v>
      </c>
      <c r="B287" s="12">
        <v>1180.8</v>
      </c>
      <c r="C287" s="12">
        <v>1180.8</v>
      </c>
      <c r="D287" s="50">
        <f>表2[[#This Row],[金额]]-表2[[#This Row],[成本]]</f>
        <v>0</v>
      </c>
      <c r="E287" s="13">
        <v>46156</v>
      </c>
      <c r="F287" s="37" t="s">
        <v>54</v>
      </c>
    </row>
    <row r="288" spans="1:6" ht="22.5" customHeight="1">
      <c r="A288" s="15" t="s">
        <v>550</v>
      </c>
      <c r="B288" s="12">
        <v>2100</v>
      </c>
      <c r="C288" s="12">
        <v>2100</v>
      </c>
      <c r="D288" s="50">
        <f>表2[[#This Row],[金额]]-表2[[#This Row],[成本]]</f>
        <v>0</v>
      </c>
      <c r="E288" s="13">
        <v>46157</v>
      </c>
      <c r="F288" s="37" t="s">
        <v>54</v>
      </c>
    </row>
    <row r="289" spans="1:6" ht="22.5" customHeight="1">
      <c r="A289" s="15" t="s">
        <v>551</v>
      </c>
      <c r="B289" s="12">
        <v>5200</v>
      </c>
      <c r="C289" s="12">
        <v>5200</v>
      </c>
      <c r="D289" s="50">
        <f>表2[[#This Row],[金额]]-表2[[#This Row],[成本]]</f>
        <v>0</v>
      </c>
      <c r="E289" s="13">
        <v>46157</v>
      </c>
      <c r="F289" s="37" t="s">
        <v>54</v>
      </c>
    </row>
    <row r="290" spans="1:6" ht="22.5" customHeight="1">
      <c r="A290" s="15" t="s">
        <v>552</v>
      </c>
      <c r="B290" s="12">
        <v>984</v>
      </c>
      <c r="C290" s="12">
        <v>924</v>
      </c>
      <c r="D290" s="50">
        <f>表2[[#This Row],[金额]]-表2[[#This Row],[成本]]</f>
        <v>60</v>
      </c>
      <c r="E290" s="13">
        <v>46158</v>
      </c>
      <c r="F290" s="37" t="s">
        <v>54</v>
      </c>
    </row>
    <row r="291" spans="1:6" ht="22.5" customHeight="1">
      <c r="A291" s="67" t="s">
        <v>60</v>
      </c>
      <c r="B291" s="12">
        <v>20</v>
      </c>
      <c r="C291" s="12">
        <v>2</v>
      </c>
      <c r="D291" s="50">
        <f>表2[[#This Row],[金额]]-表2[[#This Row],[成本]]</f>
        <v>18</v>
      </c>
      <c r="E291" s="13">
        <v>46159</v>
      </c>
      <c r="F291" s="37" t="s">
        <v>54</v>
      </c>
    </row>
    <row r="292" spans="1:6" ht="22.5" customHeight="1">
      <c r="A292" s="67" t="s">
        <v>60</v>
      </c>
      <c r="B292" s="12">
        <v>20</v>
      </c>
      <c r="C292" s="12">
        <v>2</v>
      </c>
      <c r="D292" s="50">
        <f>表2[[#This Row],[金额]]-表2[[#This Row],[成本]]</f>
        <v>18</v>
      </c>
      <c r="E292" s="13">
        <v>46160</v>
      </c>
      <c r="F292" s="37" t="s">
        <v>54</v>
      </c>
    </row>
    <row r="293" spans="1:6" ht="22.5" customHeight="1">
      <c r="A293" s="67" t="s">
        <v>60</v>
      </c>
      <c r="B293" s="12">
        <v>20</v>
      </c>
      <c r="C293" s="12">
        <v>2</v>
      </c>
      <c r="D293" s="50">
        <f>表2[[#This Row],[金额]]-表2[[#This Row],[成本]]</f>
        <v>18</v>
      </c>
      <c r="E293" s="13">
        <v>46162</v>
      </c>
      <c r="F293" s="37" t="s">
        <v>54</v>
      </c>
    </row>
    <row r="294" spans="1:6" ht="22.5" customHeight="1">
      <c r="A294" s="67" t="s">
        <v>60</v>
      </c>
      <c r="B294" s="12">
        <v>20</v>
      </c>
      <c r="C294" s="12">
        <v>2</v>
      </c>
      <c r="D294" s="50">
        <f>表2[[#This Row],[金额]]-表2[[#This Row],[成本]]</f>
        <v>18</v>
      </c>
      <c r="E294" s="13">
        <v>46163</v>
      </c>
      <c r="F294" s="37" t="s">
        <v>54</v>
      </c>
    </row>
    <row r="295" spans="1:6" ht="22.5" customHeight="1">
      <c r="A295" s="15" t="s">
        <v>562</v>
      </c>
      <c r="B295" s="12">
        <v>260</v>
      </c>
      <c r="C295" s="12">
        <v>0</v>
      </c>
      <c r="D295" s="50">
        <f>表2[[#This Row],[金额]]-表2[[#This Row],[成本]]</f>
        <v>260</v>
      </c>
      <c r="E295" s="13">
        <v>46163</v>
      </c>
      <c r="F295" s="37" t="s">
        <v>54</v>
      </c>
    </row>
    <row r="296" spans="1:6" ht="22.5" customHeight="1">
      <c r="A296" s="15" t="s">
        <v>566</v>
      </c>
      <c r="B296" s="12">
        <v>0</v>
      </c>
      <c r="C296" s="12">
        <f>(20.9+27.5)</f>
        <v>48.4</v>
      </c>
      <c r="D296" s="50">
        <f>表2[[#This Row],[金额]]-表2[[#This Row],[成本]]</f>
        <v>-48.4</v>
      </c>
      <c r="E296" s="13">
        <v>46166</v>
      </c>
      <c r="F296" s="37" t="s">
        <v>54</v>
      </c>
    </row>
    <row r="297" spans="1:6" ht="22.5" customHeight="1">
      <c r="A297" s="15" t="s">
        <v>576</v>
      </c>
      <c r="B297" s="12">
        <v>1328.4</v>
      </c>
      <c r="C297" s="12">
        <v>1328.4</v>
      </c>
      <c r="D297" s="50">
        <f>表2[[#This Row],[金额]]-表2[[#This Row],[成本]]</f>
        <v>0</v>
      </c>
      <c r="E297" s="13">
        <v>46169</v>
      </c>
      <c r="F297" s="100" t="s">
        <v>577</v>
      </c>
    </row>
    <row r="298" spans="1:6" ht="22.5" customHeight="1">
      <c r="A298" s="67" t="s">
        <v>53</v>
      </c>
      <c r="B298" s="12">
        <v>20</v>
      </c>
      <c r="C298" s="12">
        <v>2</v>
      </c>
      <c r="D298" s="50">
        <f>表2[[#This Row],[金额]]-表2[[#This Row],[成本]]</f>
        <v>18</v>
      </c>
      <c r="E298" s="13">
        <v>46170</v>
      </c>
      <c r="F298" s="37" t="s">
        <v>54</v>
      </c>
    </row>
    <row r="299" spans="1:6">
      <c r="A299" s="67" t="s">
        <v>217</v>
      </c>
      <c r="B299" s="12">
        <f>SUBTOTAL(109,表2[金额])</f>
        <v>370065.08000000007</v>
      </c>
      <c r="C299" s="12">
        <f>SUBTOTAL(109,表2[成本])</f>
        <v>353332.25000000006</v>
      </c>
      <c r="D299" s="50">
        <f>SUBTOTAL(109,表2[纯利])</f>
        <v>16732.830000000002</v>
      </c>
      <c r="E299" s="38">
        <f ca="1">TODAY()-E2+1</f>
        <v>177</v>
      </c>
      <c r="F299" s="67">
        <f>SUBTOTAL(103,表2[收机备注])</f>
        <v>296</v>
      </c>
    </row>
    <row r="300" spans="1:6">
      <c r="A300" s="81" t="s">
        <v>46</v>
      </c>
      <c r="B300" s="81"/>
      <c r="C300" s="81"/>
      <c r="D300" s="82">
        <f ca="1">TODAY()</f>
        <v>46171</v>
      </c>
      <c r="E300" s="82"/>
      <c r="F300" s="82"/>
    </row>
    <row r="301" spans="1:6">
      <c r="A301" s="81"/>
      <c r="B301" s="81"/>
      <c r="C301" s="81"/>
      <c r="D301" s="82"/>
      <c r="E301" s="82"/>
      <c r="F301" s="82"/>
    </row>
    <row r="302" spans="1:6">
      <c r="A302" s="81"/>
      <c r="B302" s="81"/>
      <c r="C302" s="81"/>
      <c r="D302" s="82"/>
      <c r="E302" s="82"/>
      <c r="F302" s="82"/>
    </row>
    <row r="303" spans="1:6" ht="14.25" customHeight="1">
      <c r="A303" s="83" t="str">
        <f ca="1">"截止 " &amp; TEXT(D300, "yyyy年mm月dd日") &amp; CHAR(10) &amp;
"共计 " &amp; TEXT(表2[[#Totals],[日期]], "0") &amp; " 天" &amp; CHAR(10) &amp;
"当前日均纯利为：" &amp; TEXT(表2[[#Totals],[纯利]]/表2[[#Totals],[日期]], "0.00") &amp; "元。" &amp; CHAR(10) &amp;
"当前纯利率为：" &amp; TEXT(表2[[#Totals],[纯利]]/表2[[#Totals],[金额]], "0.00%") &amp; CHAR(10) &amp;
"以下为详细信息：" &amp; CHAR(10) &amp;
"所有设备累计纯利为：" &amp; TEXT(表2[[#Totals],[纯利]], "0.00") &amp; "元；" &amp; CHAR(10) &amp;
"所有设备累计数量为：" &amp; TEXT(表2[[#Totals],[收机备注]], "0") &amp; "个；" &amp; CHAR(10) &amp;
"设备平均纯利润为：" &amp; TEXT(表2[[#Totals],[纯利]] / MAX(1, 表2[[#Totals],[收机备注]]), "0.00") &amp; "元。"</f>
        <v>截止 2026年05月29日
共计 177 天
当前日均纯利为：94.54元。
当前纯利率为：4.52%
以下为详细信息：
所有设备累计纯利为：16732.83元；
所有设备累计数量为：296个；
设备平均纯利润为：56.53元。</v>
      </c>
      <c r="B303" s="83"/>
      <c r="C303" s="83"/>
      <c r="D303" s="83"/>
      <c r="E303" s="83"/>
      <c r="F303" s="83"/>
    </row>
    <row r="304" spans="1:6" ht="14.25" customHeight="1">
      <c r="A304" s="83"/>
      <c r="B304" s="83"/>
      <c r="C304" s="83"/>
      <c r="D304" s="83"/>
      <c r="E304" s="83"/>
      <c r="F304" s="83"/>
    </row>
    <row r="305" spans="1:6" ht="14.25" customHeight="1">
      <c r="A305" s="83"/>
      <c r="B305" s="83"/>
      <c r="C305" s="83"/>
      <c r="D305" s="83"/>
      <c r="E305" s="83"/>
      <c r="F305" s="83"/>
    </row>
    <row r="306" spans="1:6" ht="14.25" customHeight="1">
      <c r="A306" s="83"/>
      <c r="B306" s="83"/>
      <c r="C306" s="83"/>
      <c r="D306" s="83"/>
      <c r="E306" s="83"/>
      <c r="F306" s="83"/>
    </row>
    <row r="307" spans="1:6" ht="14.25" customHeight="1">
      <c r="A307" s="83"/>
      <c r="B307" s="83"/>
      <c r="C307" s="83"/>
      <c r="D307" s="83"/>
      <c r="E307" s="83"/>
      <c r="F307" s="83"/>
    </row>
    <row r="308" spans="1:6" ht="14.25" customHeight="1">
      <c r="A308" s="83"/>
      <c r="B308" s="83"/>
      <c r="C308" s="83"/>
      <c r="D308" s="83"/>
      <c r="E308" s="83"/>
      <c r="F308" s="83"/>
    </row>
    <row r="309" spans="1:6" ht="14.25" customHeight="1">
      <c r="A309" s="83"/>
      <c r="B309" s="83"/>
      <c r="C309" s="83"/>
      <c r="D309" s="83"/>
      <c r="E309" s="83"/>
      <c r="F309" s="83"/>
    </row>
    <row r="310" spans="1:6" ht="14.25" customHeight="1">
      <c r="A310" s="83"/>
      <c r="B310" s="83"/>
      <c r="C310" s="83"/>
      <c r="D310" s="83"/>
      <c r="E310" s="83"/>
      <c r="F310" s="83"/>
    </row>
    <row r="311" spans="1:6" ht="14.25" customHeight="1">
      <c r="A311" s="83"/>
      <c r="B311" s="83"/>
      <c r="C311" s="83"/>
      <c r="D311" s="83"/>
      <c r="E311" s="83"/>
      <c r="F311" s="83"/>
    </row>
    <row r="312" spans="1:6" ht="14.25" customHeight="1">
      <c r="A312" s="83"/>
      <c r="B312" s="83"/>
      <c r="C312" s="83"/>
      <c r="D312" s="83"/>
      <c r="E312" s="83"/>
      <c r="F312" s="83"/>
    </row>
    <row r="313" spans="1:6" ht="14.25" customHeight="1">
      <c r="A313" s="83"/>
      <c r="B313" s="83"/>
      <c r="C313" s="83"/>
      <c r="D313" s="83"/>
      <c r="E313" s="83"/>
      <c r="F313" s="83"/>
    </row>
    <row r="314" spans="1:6" ht="14.25" customHeight="1">
      <c r="A314" s="83"/>
      <c r="B314" s="83"/>
      <c r="C314" s="83"/>
      <c r="D314" s="83"/>
      <c r="E314" s="83"/>
      <c r="F314" s="83"/>
    </row>
    <row r="315" spans="1:6" ht="14.25" customHeight="1">
      <c r="B315" s="39"/>
      <c r="C315" s="39"/>
      <c r="D315" s="39"/>
      <c r="E315" s="39"/>
      <c r="F315" s="39"/>
    </row>
    <row r="316" spans="1:6" ht="14.25" customHeight="1">
      <c r="A316" s="39"/>
      <c r="B316" s="39"/>
      <c r="C316" s="39"/>
      <c r="D316" s="39"/>
      <c r="E316" s="39"/>
      <c r="F316" s="39"/>
    </row>
    <row r="317" spans="1:6" ht="14.25" customHeight="1">
      <c r="A317" s="79" t="s">
        <v>218</v>
      </c>
      <c r="B317" s="78">
        <v>5000</v>
      </c>
      <c r="C317" s="78"/>
      <c r="D317" s="78"/>
      <c r="E317" s="78"/>
      <c r="F317" s="80">
        <v>46065</v>
      </c>
    </row>
    <row r="318" spans="1:6" ht="14.25" customHeight="1">
      <c r="A318" s="79"/>
      <c r="B318" s="78"/>
      <c r="C318" s="78"/>
      <c r="D318" s="78"/>
      <c r="E318" s="78"/>
      <c r="F318" s="80"/>
    </row>
    <row r="319" spans="1:6" ht="14.25" customHeight="1">
      <c r="A319" s="79"/>
      <c r="B319" s="78"/>
      <c r="C319" s="78"/>
      <c r="D319" s="78"/>
      <c r="E319" s="78"/>
      <c r="F319" s="80"/>
    </row>
    <row r="320" spans="1:6" ht="14.25" customHeight="1">
      <c r="A320" s="79" t="s">
        <v>219</v>
      </c>
      <c r="B320" s="78">
        <v>50000</v>
      </c>
      <c r="C320" s="78"/>
      <c r="D320" s="78"/>
      <c r="E320" s="78"/>
      <c r="F320" s="78"/>
    </row>
    <row r="321" spans="1:6" ht="14.25" customHeight="1">
      <c r="A321" s="79"/>
      <c r="B321" s="78"/>
      <c r="C321" s="78"/>
      <c r="D321" s="78"/>
      <c r="E321" s="78"/>
      <c r="F321" s="78"/>
    </row>
    <row r="322" spans="1:6" ht="14.25" customHeight="1">
      <c r="A322" s="79"/>
      <c r="B322" s="78"/>
      <c r="C322" s="78"/>
      <c r="D322" s="78"/>
      <c r="E322" s="78"/>
      <c r="F322" s="78"/>
    </row>
    <row r="323" spans="1:6" ht="14.25" customHeight="1">
      <c r="A323" s="79" t="s">
        <v>220</v>
      </c>
      <c r="B323" s="78">
        <f>B320-B317</f>
        <v>45000</v>
      </c>
      <c r="C323" s="79"/>
      <c r="D323" s="79"/>
      <c r="E323" s="79"/>
      <c r="F323" s="79"/>
    </row>
    <row r="324" spans="1:6" ht="14.25" customHeight="1">
      <c r="A324" s="79"/>
      <c r="B324" s="79"/>
      <c r="C324" s="79"/>
      <c r="D324" s="79"/>
      <c r="E324" s="79"/>
      <c r="F324" s="79"/>
    </row>
    <row r="325" spans="1:6">
      <c r="A325" s="79"/>
      <c r="B325" s="79"/>
      <c r="C325" s="79"/>
      <c r="D325" s="79"/>
      <c r="E325" s="79"/>
      <c r="F325" s="79"/>
    </row>
    <row r="326" spans="1:6" ht="27" customHeight="1">
      <c r="A326" s="79" t="s">
        <v>221</v>
      </c>
      <c r="B326" s="78">
        <v>2000</v>
      </c>
      <c r="C326" s="78"/>
      <c r="D326" s="78"/>
      <c r="E326" s="78"/>
      <c r="F326" s="80">
        <v>46081</v>
      </c>
    </row>
    <row r="327" spans="1:6" ht="27" customHeight="1">
      <c r="A327" s="79"/>
      <c r="B327" s="78"/>
      <c r="C327" s="78"/>
      <c r="D327" s="78"/>
      <c r="E327" s="78"/>
      <c r="F327" s="80"/>
    </row>
    <row r="328" spans="1:6" ht="27" customHeight="1">
      <c r="A328" s="79"/>
      <c r="B328" s="78">
        <v>2000</v>
      </c>
      <c r="C328" s="78"/>
      <c r="D328" s="78"/>
      <c r="E328" s="78"/>
      <c r="F328" s="80">
        <v>46121</v>
      </c>
    </row>
    <row r="329" spans="1:6" ht="27" customHeight="1">
      <c r="A329" s="79"/>
      <c r="B329" s="78"/>
      <c r="C329" s="78"/>
      <c r="D329" s="78"/>
      <c r="E329" s="78"/>
      <c r="F329" s="80"/>
    </row>
    <row r="330" spans="1:6" ht="27" customHeight="1">
      <c r="A330" s="79"/>
      <c r="B330" s="78">
        <v>2000</v>
      </c>
      <c r="C330" s="78"/>
      <c r="D330" s="78"/>
      <c r="E330" s="78"/>
      <c r="F330" s="80">
        <v>46170</v>
      </c>
    </row>
    <row r="331" spans="1:6" ht="27" customHeight="1">
      <c r="A331" s="79"/>
      <c r="B331" s="78"/>
      <c r="C331" s="78"/>
      <c r="D331" s="78"/>
      <c r="E331" s="78"/>
      <c r="F331" s="80"/>
    </row>
    <row r="332" spans="1:6" ht="27" customHeight="1">
      <c r="A332" s="70" t="s">
        <v>222</v>
      </c>
      <c r="B332" s="78">
        <f>SUM(B326:E331)</f>
        <v>6000</v>
      </c>
      <c r="C332" s="78"/>
      <c r="D332" s="78"/>
      <c r="E332" s="78"/>
      <c r="F332" s="69">
        <v>46121</v>
      </c>
    </row>
    <row r="333" spans="1:6" ht="14.25" customHeight="1">
      <c r="A333" s="79" t="s">
        <v>223</v>
      </c>
      <c r="B333" s="78">
        <f>表2[[#Totals],[纯利]]-B317-B332</f>
        <v>5732.8300000000017</v>
      </c>
      <c r="C333" s="79"/>
      <c r="D333" s="79"/>
      <c r="E333" s="79"/>
      <c r="F333" s="79"/>
    </row>
    <row r="334" spans="1:6" ht="14.25" customHeight="1">
      <c r="A334" s="79"/>
      <c r="B334" s="79"/>
      <c r="C334" s="79"/>
      <c r="D334" s="79"/>
      <c r="E334" s="79"/>
      <c r="F334" s="79"/>
    </row>
    <row r="335" spans="1:6">
      <c r="A335" s="79"/>
      <c r="B335" s="79"/>
      <c r="C335" s="79"/>
      <c r="D335" s="79"/>
      <c r="E335" s="79"/>
      <c r="F335" s="79"/>
    </row>
    <row r="336" spans="1:6">
      <c r="A336" s="76" t="s">
        <v>224</v>
      </c>
      <c r="B336" s="77">
        <f ca="1">TODAY()</f>
        <v>46171</v>
      </c>
      <c r="C336" s="77"/>
      <c r="D336" s="77"/>
      <c r="E336" s="77"/>
      <c r="F336" s="77"/>
    </row>
    <row r="337" spans="1:6">
      <c r="A337" s="76"/>
      <c r="B337" s="77"/>
      <c r="C337" s="77"/>
      <c r="D337" s="77"/>
      <c r="E337" s="77"/>
      <c r="F337" s="77"/>
    </row>
    <row r="338" spans="1:6">
      <c r="A338" s="76"/>
      <c r="B338" s="77"/>
      <c r="C338" s="77"/>
      <c r="D338" s="77"/>
      <c r="E338" s="77"/>
      <c r="F338" s="77"/>
    </row>
    <row r="343" spans="1:6">
      <c r="C343" s="2" t="s">
        <v>225</v>
      </c>
    </row>
  </sheetData>
  <mergeCells count="22">
    <mergeCell ref="F330:F331"/>
    <mergeCell ref="B332:E332"/>
    <mergeCell ref="B326:E327"/>
    <mergeCell ref="A300:C302"/>
    <mergeCell ref="D300:F302"/>
    <mergeCell ref="A303:F314"/>
    <mergeCell ref="A336:A338"/>
    <mergeCell ref="B336:F338"/>
    <mergeCell ref="B317:E319"/>
    <mergeCell ref="A333:A335"/>
    <mergeCell ref="B333:F335"/>
    <mergeCell ref="F317:F319"/>
    <mergeCell ref="A320:A322"/>
    <mergeCell ref="B320:F322"/>
    <mergeCell ref="A323:A325"/>
    <mergeCell ref="B323:F325"/>
    <mergeCell ref="A317:A319"/>
    <mergeCell ref="A326:A331"/>
    <mergeCell ref="F326:F327"/>
    <mergeCell ref="B328:E329"/>
    <mergeCell ref="F328:F329"/>
    <mergeCell ref="B330:E331"/>
  </mergeCells>
  <phoneticPr fontId="2" type="noConversion"/>
  <pageMargins left="0.75" right="0.75" top="1" bottom="1" header="0.51180555555555596" footer="0.51180555555555596"/>
  <pageSetup paperSize="9" orientation="portrait" r:id="rId1"/>
  <headerFooter scaleWithDoc="0"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1D86-707A-46CD-8F9D-F956958705E3}">
  <sheetPr codeName="Sheet3"/>
  <dimension ref="A1:P84"/>
  <sheetViews>
    <sheetView tabSelected="1" zoomScaleNormal="100" workbookViewId="0">
      <pane ySplit="3" topLeftCell="A8" activePane="bottomLeft" state="frozen"/>
      <selection pane="bottomLeft" activeCell="O27" sqref="O27"/>
    </sheetView>
  </sheetViews>
  <sheetFormatPr defaultColWidth="9" defaultRowHeight="14.25"/>
  <cols>
    <col min="1" max="1" width="22.875" style="4" customWidth="1"/>
    <col min="2" max="2" width="12.625" style="6" customWidth="1"/>
    <col min="3" max="4" width="12.625" style="4" customWidth="1"/>
    <col min="5" max="5" width="12.625" style="8" customWidth="1"/>
    <col min="6" max="7" width="16.125" style="5" customWidth="1"/>
    <col min="8" max="8" width="12.625" style="5" customWidth="1"/>
    <col min="9" max="9" width="14.125" style="7" customWidth="1"/>
    <col min="10" max="11" width="12.625" style="7" customWidth="1"/>
    <col min="12" max="12" width="12.625" style="4" customWidth="1"/>
    <col min="13" max="13" width="12.125" style="1" customWidth="1"/>
    <col min="14" max="16384" width="9" style="1"/>
  </cols>
  <sheetData>
    <row r="1" spans="1:16">
      <c r="A1" s="81" t="s">
        <v>226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6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6" ht="22.5" customHeight="1">
      <c r="A3" s="67" t="s">
        <v>227</v>
      </c>
      <c r="B3" s="16" t="s">
        <v>228</v>
      </c>
      <c r="C3" s="67" t="s">
        <v>229</v>
      </c>
      <c r="D3" s="67" t="s">
        <v>230</v>
      </c>
      <c r="E3" s="17" t="s">
        <v>231</v>
      </c>
      <c r="F3" s="12" t="s">
        <v>232</v>
      </c>
      <c r="G3" s="12" t="s">
        <v>233</v>
      </c>
      <c r="H3" s="12" t="s">
        <v>234</v>
      </c>
      <c r="I3" s="61" t="s">
        <v>235</v>
      </c>
      <c r="J3" s="50" t="s">
        <v>236</v>
      </c>
      <c r="K3" s="50" t="s">
        <v>237</v>
      </c>
      <c r="L3" s="67" t="s">
        <v>238</v>
      </c>
    </row>
    <row r="4" spans="1:16" ht="22.5" customHeight="1">
      <c r="A4" s="67" t="s">
        <v>253</v>
      </c>
      <c r="B4" s="16"/>
      <c r="C4" s="67"/>
      <c r="D4" s="67"/>
      <c r="E4" s="17"/>
      <c r="F4" s="12">
        <v>0</v>
      </c>
      <c r="G4" s="12">
        <v>0</v>
      </c>
      <c r="H4" s="12">
        <f>表3[[#This Row],[售价]]*1.6%</f>
        <v>0</v>
      </c>
      <c r="I4" s="62">
        <f>表3[[#This Row],[售价]]-表3[[#This Row],[手续费]]</f>
        <v>0</v>
      </c>
      <c r="J4" s="50">
        <f>表3[[#This Row],[售价]]-表3[[#This Row],[成本]]-表3[[#This Row],[手续费]]</f>
        <v>0</v>
      </c>
      <c r="K4" s="50"/>
      <c r="L4" s="64">
        <v>46108</v>
      </c>
      <c r="P4" s="75" t="s">
        <v>257</v>
      </c>
    </row>
    <row r="5" spans="1:16" ht="22.5" customHeight="1">
      <c r="A5" s="15" t="s">
        <v>261</v>
      </c>
      <c r="B5" s="16">
        <v>0.71</v>
      </c>
      <c r="C5" s="67">
        <v>64</v>
      </c>
      <c r="D5" s="67" t="s">
        <v>255</v>
      </c>
      <c r="E5" s="17" t="s">
        <v>262</v>
      </c>
      <c r="F5" s="12">
        <v>400</v>
      </c>
      <c r="G5" s="12">
        <v>600</v>
      </c>
      <c r="H5" s="12">
        <f>表3[[#This Row],[售价]]*1.6%</f>
        <v>9.6</v>
      </c>
      <c r="I5" s="62">
        <f>表3[[#This Row],[售价]]-表3[[#This Row],[手续费]]</f>
        <v>590.4</v>
      </c>
      <c r="J5" s="50">
        <f>表3[[#This Row],[售价]]-表3[[#This Row],[成本]]-表3[[#This Row],[手续费]]</f>
        <v>190.4</v>
      </c>
      <c r="K5" s="50"/>
      <c r="L5" s="64">
        <v>46138</v>
      </c>
    </row>
    <row r="6" spans="1:16" ht="22.5" customHeight="1">
      <c r="A6" s="15" t="s">
        <v>263</v>
      </c>
      <c r="B6" s="16">
        <v>0.74</v>
      </c>
      <c r="C6" s="67">
        <v>64</v>
      </c>
      <c r="D6" s="67" t="s">
        <v>240</v>
      </c>
      <c r="E6" s="17" t="s">
        <v>264</v>
      </c>
      <c r="F6" s="12">
        <v>400</v>
      </c>
      <c r="G6" s="12">
        <v>900</v>
      </c>
      <c r="H6" s="12">
        <f>表3[[#This Row],[售价]]*1.6%</f>
        <v>14.4</v>
      </c>
      <c r="I6" s="62">
        <f>表3[[#This Row],[售价]]-表3[[#This Row],[手续费]]</f>
        <v>885.6</v>
      </c>
      <c r="J6" s="50">
        <f>表3[[#This Row],[售价]]-表3[[#This Row],[成本]]-表3[[#This Row],[手续费]]</f>
        <v>485.6</v>
      </c>
      <c r="K6" s="50"/>
      <c r="L6" s="64">
        <v>46138</v>
      </c>
    </row>
    <row r="7" spans="1:16" ht="22.5" customHeight="1">
      <c r="A7" s="15" t="s">
        <v>266</v>
      </c>
      <c r="B7" s="16">
        <v>0.8</v>
      </c>
      <c r="C7" s="67">
        <v>256</v>
      </c>
      <c r="D7" s="67" t="s">
        <v>267</v>
      </c>
      <c r="E7" s="17" t="s">
        <v>268</v>
      </c>
      <c r="F7" s="12">
        <v>800</v>
      </c>
      <c r="G7" s="12">
        <v>1200</v>
      </c>
      <c r="H7" s="12">
        <f>表3[[#This Row],[售价]]*1.6%</f>
        <v>19.2</v>
      </c>
      <c r="I7" s="62">
        <f>表3[[#This Row],[售价]]-表3[[#This Row],[手续费]]</f>
        <v>1180.8</v>
      </c>
      <c r="J7" s="50">
        <f>表3[[#This Row],[售价]]-表3[[#This Row],[成本]]-表3[[#This Row],[手续费]]</f>
        <v>380.8</v>
      </c>
      <c r="K7" s="50"/>
      <c r="L7" s="64">
        <v>46140</v>
      </c>
    </row>
    <row r="8" spans="1:16" ht="22.5" customHeight="1">
      <c r="A8" s="15" t="s">
        <v>269</v>
      </c>
      <c r="B8" s="16"/>
      <c r="C8" s="67">
        <v>128</v>
      </c>
      <c r="D8" s="67" t="s">
        <v>270</v>
      </c>
      <c r="E8" s="17"/>
      <c r="F8" s="12">
        <v>3200</v>
      </c>
      <c r="G8" s="12">
        <v>3400</v>
      </c>
      <c r="H8" s="12">
        <f>表3[[#This Row],[售价]]*1.6%</f>
        <v>54.4</v>
      </c>
      <c r="I8" s="62">
        <f>表3[[#This Row],[售价]]-表3[[#This Row],[手续费]]</f>
        <v>3345.6</v>
      </c>
      <c r="J8" s="50">
        <f>表3[[#This Row],[售价]]-表3[[#This Row],[成本]]-表3[[#This Row],[手续费]]</f>
        <v>145.6</v>
      </c>
      <c r="K8" s="50"/>
      <c r="L8" s="64">
        <v>46141</v>
      </c>
    </row>
    <row r="9" spans="1:16" ht="22.5" customHeight="1">
      <c r="A9" s="15" t="s">
        <v>261</v>
      </c>
      <c r="B9" s="16">
        <v>1</v>
      </c>
      <c r="C9" s="67">
        <v>64</v>
      </c>
      <c r="D9" s="67" t="s">
        <v>271</v>
      </c>
      <c r="E9" s="17" t="s">
        <v>272</v>
      </c>
      <c r="F9" s="12">
        <v>200</v>
      </c>
      <c r="G9" s="12">
        <v>700</v>
      </c>
      <c r="H9" s="12">
        <f>表3[[#This Row],[售价]]*1.6%</f>
        <v>11.200000000000001</v>
      </c>
      <c r="I9" s="62">
        <f>表3[[#This Row],[售价]]-表3[[#This Row],[手续费]]</f>
        <v>688.8</v>
      </c>
      <c r="J9" s="50">
        <f>表3[[#This Row],[售价]]-表3[[#This Row],[成本]]-表3[[#This Row],[手续费]]</f>
        <v>488.8</v>
      </c>
      <c r="K9" s="50"/>
      <c r="L9" s="64">
        <v>46142</v>
      </c>
    </row>
    <row r="10" spans="1:16" ht="22.5" customHeight="1">
      <c r="A10" s="15" t="s">
        <v>261</v>
      </c>
      <c r="B10" s="16">
        <v>1</v>
      </c>
      <c r="C10" s="67">
        <v>64</v>
      </c>
      <c r="D10" s="67" t="s">
        <v>247</v>
      </c>
      <c r="E10" s="17" t="s">
        <v>273</v>
      </c>
      <c r="F10" s="12">
        <v>200</v>
      </c>
      <c r="G10" s="12">
        <v>700</v>
      </c>
      <c r="H10" s="12">
        <f>表3[[#This Row],[售价]]*1.6%</f>
        <v>11.200000000000001</v>
      </c>
      <c r="I10" s="62">
        <f>表3[[#This Row],[售价]]-表3[[#This Row],[手续费]]</f>
        <v>688.8</v>
      </c>
      <c r="J10" s="50">
        <f>表3[[#This Row],[售价]]-表3[[#This Row],[成本]]-表3[[#This Row],[手续费]]</f>
        <v>488.8</v>
      </c>
      <c r="K10" s="50"/>
      <c r="L10" s="64">
        <v>46142</v>
      </c>
    </row>
    <row r="11" spans="1:16" ht="22.5" customHeight="1">
      <c r="A11" s="15" t="s">
        <v>533</v>
      </c>
      <c r="B11" s="16">
        <v>1</v>
      </c>
      <c r="C11" s="67" t="s">
        <v>243</v>
      </c>
      <c r="D11" s="67" t="s">
        <v>270</v>
      </c>
      <c r="E11" s="17"/>
      <c r="F11" s="12">
        <v>700</v>
      </c>
      <c r="G11" s="12">
        <v>1000</v>
      </c>
      <c r="H11" s="12">
        <f>表3[[#This Row],[售价]]*1.6%</f>
        <v>16</v>
      </c>
      <c r="I11" s="62">
        <f>表3[[#This Row],[售价]]-表3[[#This Row],[手续费]]</f>
        <v>984</v>
      </c>
      <c r="J11" s="50">
        <f>表3[[#This Row],[售价]]-表3[[#This Row],[成本]]-表3[[#This Row],[手续费]]</f>
        <v>284</v>
      </c>
      <c r="K11" s="50"/>
      <c r="L11" s="64">
        <v>46148</v>
      </c>
    </row>
    <row r="12" spans="1:16" ht="22.5" customHeight="1">
      <c r="A12" s="15" t="s">
        <v>269</v>
      </c>
      <c r="B12" s="16">
        <v>0.87</v>
      </c>
      <c r="C12" s="67">
        <v>128</v>
      </c>
      <c r="D12" s="67" t="s">
        <v>270</v>
      </c>
      <c r="E12" s="17"/>
      <c r="F12" s="12">
        <v>3000</v>
      </c>
      <c r="G12" s="12">
        <v>3400</v>
      </c>
      <c r="H12" s="12">
        <f>表3[[#This Row],[售价]]*1.6%</f>
        <v>54.4</v>
      </c>
      <c r="I12" s="62">
        <f>表3[[#This Row],[售价]]-表3[[#This Row],[手续费]]</f>
        <v>3345.6</v>
      </c>
      <c r="J12" s="50">
        <f>表3[[#This Row],[售价]]-表3[[#This Row],[成本]]-表3[[#This Row],[手续费]]</f>
        <v>345.6</v>
      </c>
      <c r="K12" s="50"/>
      <c r="L12" s="64">
        <v>46149</v>
      </c>
    </row>
    <row r="13" spans="1:16" ht="22.5" customHeight="1">
      <c r="A13" s="15" t="s">
        <v>265</v>
      </c>
      <c r="B13" s="16">
        <v>0.82</v>
      </c>
      <c r="C13" s="67">
        <v>256</v>
      </c>
      <c r="D13" s="67" t="s">
        <v>255</v>
      </c>
      <c r="E13" s="17" t="s">
        <v>543</v>
      </c>
      <c r="F13" s="12">
        <v>3979</v>
      </c>
      <c r="G13" s="12">
        <v>4300</v>
      </c>
      <c r="H13" s="12">
        <f>表3[[#This Row],[售价]]*1.6%</f>
        <v>68.8</v>
      </c>
      <c r="I13" s="62">
        <f>表3[[#This Row],[售价]]-表3[[#This Row],[手续费]]</f>
        <v>4231.2</v>
      </c>
      <c r="J13" s="50">
        <f>表3[[#This Row],[售价]]-表3[[#This Row],[成本]]-表3[[#This Row],[手续费]]</f>
        <v>252.2</v>
      </c>
      <c r="K13" s="50"/>
      <c r="L13" s="64">
        <v>46152</v>
      </c>
    </row>
    <row r="14" spans="1:16" ht="22.5" customHeight="1">
      <c r="A14" s="15" t="s">
        <v>555</v>
      </c>
      <c r="B14" s="16"/>
      <c r="C14" s="67" t="s">
        <v>243</v>
      </c>
      <c r="D14" s="67" t="s">
        <v>247</v>
      </c>
      <c r="E14" s="17" t="s">
        <v>556</v>
      </c>
      <c r="F14" s="12">
        <v>300</v>
      </c>
      <c r="G14" s="12">
        <v>600</v>
      </c>
      <c r="H14" s="12">
        <f>表3[[#This Row],[售价]]*1.6%</f>
        <v>9.6</v>
      </c>
      <c r="I14" s="62">
        <f>表3[[#This Row],[售价]]-表3[[#This Row],[手续费]]</f>
        <v>590.4</v>
      </c>
      <c r="J14" s="50">
        <f>表3[[#This Row],[售价]]-表3[[#This Row],[成本]]-表3[[#This Row],[手续费]]</f>
        <v>290.39999999999998</v>
      </c>
      <c r="K14" s="50"/>
      <c r="L14" s="64">
        <v>46159</v>
      </c>
    </row>
    <row r="15" spans="1:16" ht="22.5" customHeight="1">
      <c r="A15" s="15" t="s">
        <v>531</v>
      </c>
      <c r="B15" s="16">
        <v>0.76</v>
      </c>
      <c r="C15" s="67">
        <v>128</v>
      </c>
      <c r="D15" s="67" t="s">
        <v>255</v>
      </c>
      <c r="E15" s="17" t="s">
        <v>557</v>
      </c>
      <c r="F15" s="12">
        <v>1700</v>
      </c>
      <c r="G15" s="12">
        <v>2300</v>
      </c>
      <c r="H15" s="12">
        <f>表3[[#This Row],[售价]]*1.6%</f>
        <v>36.800000000000004</v>
      </c>
      <c r="I15" s="62">
        <f>表3[[#This Row],[售价]]-表3[[#This Row],[手续费]]</f>
        <v>2263.1999999999998</v>
      </c>
      <c r="J15" s="50">
        <f>表3[[#This Row],[售价]]-表3[[#This Row],[成本]]-表3[[#This Row],[手续费]]</f>
        <v>563.20000000000005</v>
      </c>
      <c r="K15" s="50"/>
      <c r="L15" s="64">
        <v>46160</v>
      </c>
    </row>
    <row r="16" spans="1:16" ht="22.5" customHeight="1">
      <c r="A16" s="15" t="s">
        <v>239</v>
      </c>
      <c r="B16" s="16">
        <v>0.74</v>
      </c>
      <c r="C16" s="67">
        <v>64</v>
      </c>
      <c r="D16" s="67" t="s">
        <v>255</v>
      </c>
      <c r="E16" s="17" t="s">
        <v>565</v>
      </c>
      <c r="F16" s="12">
        <v>800</v>
      </c>
      <c r="G16" s="12">
        <v>1500</v>
      </c>
      <c r="H16" s="12">
        <f>表3[[#This Row],[售价]]*1.6%</f>
        <v>24</v>
      </c>
      <c r="I16" s="62">
        <f>表3[[#This Row],[售价]]-表3[[#This Row],[手续费]]</f>
        <v>1476</v>
      </c>
      <c r="J16" s="50">
        <f>表3[[#This Row],[售价]]-表3[[#This Row],[成本]]-表3[[#This Row],[手续费]]</f>
        <v>676</v>
      </c>
      <c r="K16" s="50"/>
      <c r="L16" s="64">
        <v>46165</v>
      </c>
    </row>
    <row r="17" spans="1:12" ht="22.5" customHeight="1">
      <c r="A17" s="15" t="s">
        <v>560</v>
      </c>
      <c r="B17" s="16">
        <v>1</v>
      </c>
      <c r="C17" s="67" t="s">
        <v>249</v>
      </c>
      <c r="D17" s="67" t="s">
        <v>255</v>
      </c>
      <c r="E17" s="17"/>
      <c r="F17" s="12">
        <v>1555</v>
      </c>
      <c r="G17" s="12">
        <v>1800</v>
      </c>
      <c r="H17" s="12">
        <f>表3[[#This Row],[售价]]*1.6%</f>
        <v>28.8</v>
      </c>
      <c r="I17" s="62">
        <f>表3[[#This Row],[售价]]-表3[[#This Row],[手续费]]</f>
        <v>1771.2</v>
      </c>
      <c r="J17" s="50">
        <f>表3[[#This Row],[售价]]-表3[[#This Row],[成本]]-表3[[#This Row],[手续费]]</f>
        <v>216.2</v>
      </c>
      <c r="K17" s="50"/>
      <c r="L17" s="64">
        <v>46166</v>
      </c>
    </row>
    <row r="18" spans="1:12" ht="22.5" customHeight="1">
      <c r="A18" s="15" t="s">
        <v>568</v>
      </c>
      <c r="B18" s="16">
        <v>0.86</v>
      </c>
      <c r="C18" s="67" t="s">
        <v>249</v>
      </c>
      <c r="D18" s="67" t="s">
        <v>271</v>
      </c>
      <c r="E18" s="17" t="s">
        <v>569</v>
      </c>
      <c r="F18" s="12">
        <v>400</v>
      </c>
      <c r="G18" s="12">
        <v>700</v>
      </c>
      <c r="H18" s="12">
        <f>表3[[#This Row],[售价]]*1.6%</f>
        <v>11.200000000000001</v>
      </c>
      <c r="I18" s="62">
        <f>表3[[#This Row],[售价]]-表3[[#This Row],[手续费]]</f>
        <v>688.8</v>
      </c>
      <c r="J18" s="50">
        <f>表3[[#This Row],[售价]]-表3[[#This Row],[成本]]-表3[[#This Row],[手续费]]</f>
        <v>288.8</v>
      </c>
      <c r="K18" s="50"/>
      <c r="L18" s="64">
        <v>46167</v>
      </c>
    </row>
    <row r="19" spans="1:12" ht="22.5" customHeight="1">
      <c r="A19" s="15" t="s">
        <v>572</v>
      </c>
      <c r="B19" s="16">
        <v>0.79</v>
      </c>
      <c r="C19" s="67">
        <v>256</v>
      </c>
      <c r="D19" s="67" t="s">
        <v>240</v>
      </c>
      <c r="E19" s="17" t="s">
        <v>571</v>
      </c>
      <c r="F19" s="12">
        <v>1200</v>
      </c>
      <c r="G19" s="12">
        <v>1700</v>
      </c>
      <c r="H19" s="12">
        <f>表3[[#This Row],[售价]]*1.6%</f>
        <v>27.2</v>
      </c>
      <c r="I19" s="62">
        <f>表3[[#This Row],[售价]]-表3[[#This Row],[手续费]]</f>
        <v>1672.8</v>
      </c>
      <c r="J19" s="50">
        <f>表3[[#This Row],[售价]]-表3[[#This Row],[成本]]-表3[[#This Row],[手续费]]</f>
        <v>472.8</v>
      </c>
      <c r="K19" s="50"/>
      <c r="L19" s="64">
        <v>46167</v>
      </c>
    </row>
    <row r="20" spans="1:12" ht="22.5" customHeight="1">
      <c r="A20" s="15" t="s">
        <v>553</v>
      </c>
      <c r="B20" s="16">
        <v>0.98</v>
      </c>
      <c r="C20" s="67">
        <v>256</v>
      </c>
      <c r="D20" s="67" t="s">
        <v>255</v>
      </c>
      <c r="E20" s="17" t="s">
        <v>573</v>
      </c>
      <c r="F20" s="12">
        <v>5250</v>
      </c>
      <c r="G20" s="12">
        <v>6400</v>
      </c>
      <c r="H20" s="12">
        <f>表3[[#This Row],[售价]]*1.6%</f>
        <v>102.4</v>
      </c>
      <c r="I20" s="62">
        <f>表3[[#This Row],[售价]]-表3[[#This Row],[手续费]]</f>
        <v>6297.6</v>
      </c>
      <c r="J20" s="50">
        <f>表3[[#This Row],[售价]]-表3[[#This Row],[成本]]-表3[[#This Row],[手续费]]</f>
        <v>1047.5999999999999</v>
      </c>
      <c r="K20" s="50"/>
      <c r="L20" s="64">
        <v>46167</v>
      </c>
    </row>
    <row r="21" spans="1:12" ht="22.5" customHeight="1">
      <c r="A21" s="15" t="s">
        <v>570</v>
      </c>
      <c r="B21" s="16">
        <v>0.75</v>
      </c>
      <c r="C21" s="67">
        <v>256</v>
      </c>
      <c r="D21" s="67" t="s">
        <v>255</v>
      </c>
      <c r="E21" s="17" t="s">
        <v>574</v>
      </c>
      <c r="F21" s="12">
        <v>2400</v>
      </c>
      <c r="G21" s="12">
        <v>2900</v>
      </c>
      <c r="H21" s="12">
        <f>表3[[#This Row],[售价]]*1.6%</f>
        <v>46.4</v>
      </c>
      <c r="I21" s="62">
        <f>表3[[#This Row],[售价]]-表3[[#This Row],[手续费]]</f>
        <v>2853.6</v>
      </c>
      <c r="J21" s="50">
        <f>表3[[#This Row],[售价]]-表3[[#This Row],[成本]]-表3[[#This Row],[手续费]]</f>
        <v>453.6</v>
      </c>
      <c r="K21" s="50"/>
      <c r="L21" s="64">
        <v>46167</v>
      </c>
    </row>
    <row r="22" spans="1:12" ht="22.5" customHeight="1">
      <c r="A22" s="15" t="s">
        <v>242</v>
      </c>
      <c r="B22" s="16">
        <v>0.83</v>
      </c>
      <c r="C22" s="67" t="s">
        <v>243</v>
      </c>
      <c r="D22" s="67" t="s">
        <v>240</v>
      </c>
      <c r="E22" s="17" t="s">
        <v>244</v>
      </c>
      <c r="F22" s="12">
        <v>500</v>
      </c>
      <c r="G22" s="12">
        <v>900</v>
      </c>
      <c r="H22" s="12">
        <f>表3[[#This Row],[售价]]*1.6%</f>
        <v>14.4</v>
      </c>
      <c r="I22" s="62">
        <f>表3[[#This Row],[售价]]-表3[[#This Row],[手续费]]</f>
        <v>885.6</v>
      </c>
      <c r="J22" s="50">
        <f>表3[[#This Row],[售价]]-表3[[#This Row],[成本]]-表3[[#This Row],[手续费]]</f>
        <v>385.6</v>
      </c>
      <c r="K22" s="50"/>
      <c r="L22" s="64">
        <v>46167</v>
      </c>
    </row>
    <row r="23" spans="1:12" ht="22.5" customHeight="1">
      <c r="A23" s="15" t="s">
        <v>258</v>
      </c>
      <c r="B23" s="16">
        <v>0.87</v>
      </c>
      <c r="C23" s="67" t="s">
        <v>259</v>
      </c>
      <c r="D23" s="67" t="s">
        <v>247</v>
      </c>
      <c r="E23" s="17" t="s">
        <v>260</v>
      </c>
      <c r="F23" s="12">
        <v>1000</v>
      </c>
      <c r="G23" s="12">
        <v>1400</v>
      </c>
      <c r="H23" s="12">
        <f>表3[[#This Row],[售价]]*1.6%</f>
        <v>22.400000000000002</v>
      </c>
      <c r="I23" s="62">
        <f>表3[[#This Row],[售价]]-表3[[#This Row],[手续费]]</f>
        <v>1377.6</v>
      </c>
      <c r="J23" s="50">
        <f>表3[[#This Row],[售价]]-表3[[#This Row],[成本]]-表3[[#This Row],[手续费]]</f>
        <v>377.6</v>
      </c>
      <c r="K23" s="50"/>
      <c r="L23" s="64">
        <v>46167</v>
      </c>
    </row>
    <row r="24" spans="1:12" ht="22.5" customHeight="1">
      <c r="A24" s="15" t="s">
        <v>250</v>
      </c>
      <c r="B24" s="16">
        <v>0.84</v>
      </c>
      <c r="C24" s="67" t="s">
        <v>251</v>
      </c>
      <c r="D24" s="67" t="s">
        <v>247</v>
      </c>
      <c r="E24" s="17" t="s">
        <v>252</v>
      </c>
      <c r="F24" s="12">
        <v>2450</v>
      </c>
      <c r="G24" s="12">
        <v>2800</v>
      </c>
      <c r="H24" s="12">
        <f>表3[[#This Row],[售价]]*1.6%</f>
        <v>44.800000000000004</v>
      </c>
      <c r="I24" s="62">
        <f>表3[[#This Row],[售价]]-表3[[#This Row],[手续费]]</f>
        <v>2755.2</v>
      </c>
      <c r="J24" s="50">
        <f>表3[[#This Row],[售价]]-表3[[#This Row],[成本]]-表3[[#This Row],[手续费]]</f>
        <v>305.2</v>
      </c>
      <c r="K24" s="50"/>
      <c r="L24" s="64">
        <v>46167</v>
      </c>
    </row>
    <row r="25" spans="1:12" ht="22.5" customHeight="1">
      <c r="A25" s="15" t="s">
        <v>284</v>
      </c>
      <c r="B25" s="16">
        <v>0.93</v>
      </c>
      <c r="C25" s="67" t="s">
        <v>249</v>
      </c>
      <c r="D25" s="67" t="s">
        <v>247</v>
      </c>
      <c r="E25" s="17" t="s">
        <v>285</v>
      </c>
      <c r="F25" s="12">
        <v>1000</v>
      </c>
      <c r="G25" s="12">
        <v>1300</v>
      </c>
      <c r="H25" s="12">
        <f>表3[[#This Row],[售价]]*1.6%</f>
        <v>20.8</v>
      </c>
      <c r="I25" s="62">
        <f>表3[[#This Row],[售价]]-表3[[#This Row],[手续费]]</f>
        <v>1279.2</v>
      </c>
      <c r="J25" s="50">
        <f>表3[[#This Row],[售价]]-表3[[#This Row],[成本]]-表3[[#This Row],[手续费]]</f>
        <v>279.2</v>
      </c>
      <c r="K25" s="50"/>
      <c r="L25" s="64">
        <v>46167</v>
      </c>
    </row>
    <row r="26" spans="1:12" ht="22.5" customHeight="1">
      <c r="A26" s="15" t="s">
        <v>281</v>
      </c>
      <c r="B26" s="16">
        <v>0.77</v>
      </c>
      <c r="C26" s="67">
        <v>256</v>
      </c>
      <c r="D26" s="67" t="s">
        <v>254</v>
      </c>
      <c r="E26" s="17" t="s">
        <v>282</v>
      </c>
      <c r="F26" s="12">
        <v>1500</v>
      </c>
      <c r="G26" s="12">
        <v>2000</v>
      </c>
      <c r="H26" s="12">
        <f>表3[[#This Row],[售价]]*1.6%</f>
        <v>32</v>
      </c>
      <c r="I26" s="62">
        <f>表3[[#This Row],[售价]]-表3[[#This Row],[手续费]]</f>
        <v>1968</v>
      </c>
      <c r="J26" s="50">
        <f>表3[[#This Row],[售价]]-表3[[#This Row],[成本]]-表3[[#This Row],[手续费]]</f>
        <v>468</v>
      </c>
      <c r="K26" s="50"/>
      <c r="L26" s="64">
        <v>46167</v>
      </c>
    </row>
    <row r="27" spans="1:12" ht="22.5" customHeight="1">
      <c r="A27" s="15" t="s">
        <v>239</v>
      </c>
      <c r="B27" s="16">
        <v>0.83</v>
      </c>
      <c r="C27" s="67">
        <v>256</v>
      </c>
      <c r="D27" s="67" t="s">
        <v>255</v>
      </c>
      <c r="E27" s="17" t="s">
        <v>567</v>
      </c>
      <c r="F27" s="12">
        <v>820</v>
      </c>
      <c r="G27" s="12">
        <v>1500</v>
      </c>
      <c r="H27" s="12">
        <f>表3[[#This Row],[售价]]*1.6%</f>
        <v>24</v>
      </c>
      <c r="I27" s="62">
        <f>表3[[#This Row],[售价]]-表3[[#This Row],[手续费]]</f>
        <v>1476</v>
      </c>
      <c r="J27" s="50">
        <f>表3[[#This Row],[售价]]-表3[[#This Row],[成本]]-表3[[#This Row],[手续费]]</f>
        <v>656</v>
      </c>
      <c r="K27" s="50"/>
      <c r="L27" s="64">
        <v>46167</v>
      </c>
    </row>
    <row r="28" spans="1:12" ht="22.5" customHeight="1">
      <c r="A28" s="15" t="s">
        <v>578</v>
      </c>
      <c r="B28" s="16">
        <v>1</v>
      </c>
      <c r="C28" s="67" t="s">
        <v>249</v>
      </c>
      <c r="D28" s="67" t="s">
        <v>255</v>
      </c>
      <c r="E28" s="17" t="s">
        <v>579</v>
      </c>
      <c r="F28" s="12">
        <v>1800</v>
      </c>
      <c r="G28" s="12">
        <v>2400</v>
      </c>
      <c r="H28" s="12">
        <f>表3[[#This Row],[售价]]*1.6%</f>
        <v>38.4</v>
      </c>
      <c r="I28" s="62">
        <f>表3[[#This Row],[售价]]-表3[[#This Row],[手续费]]</f>
        <v>2361.6</v>
      </c>
      <c r="J28" s="50">
        <f>表3[[#This Row],[售价]]-表3[[#This Row],[成本]]-表3[[#This Row],[手续费]]</f>
        <v>561.6</v>
      </c>
      <c r="K28" s="50"/>
      <c r="L28" s="64">
        <v>46170</v>
      </c>
    </row>
    <row r="29" spans="1:12" ht="22.5" customHeight="1">
      <c r="A29" s="15" t="s">
        <v>581</v>
      </c>
      <c r="B29" s="16">
        <v>0.86</v>
      </c>
      <c r="C29" s="67">
        <v>256</v>
      </c>
      <c r="D29" s="67" t="s">
        <v>580</v>
      </c>
      <c r="E29" s="17" t="s">
        <v>582</v>
      </c>
      <c r="F29" s="12">
        <v>3000</v>
      </c>
      <c r="G29" s="12">
        <v>3400</v>
      </c>
      <c r="H29" s="12">
        <f>表3[[#This Row],[售价]]*1.6%</f>
        <v>54.4</v>
      </c>
      <c r="I29" s="62">
        <f>表3[[#This Row],[售价]]-表3[[#This Row],[手续费]]</f>
        <v>3345.6</v>
      </c>
      <c r="J29" s="50">
        <f>表3[[#This Row],[售价]]-表3[[#This Row],[成本]]-表3[[#This Row],[手续费]]</f>
        <v>345.6</v>
      </c>
      <c r="K29" s="50"/>
      <c r="L29" s="64">
        <v>46170</v>
      </c>
    </row>
    <row r="30" spans="1:12" ht="22.5" customHeight="1">
      <c r="A30" s="15" t="s">
        <v>583</v>
      </c>
      <c r="B30" s="16">
        <v>1</v>
      </c>
      <c r="C30" s="67">
        <v>256</v>
      </c>
      <c r="D30" s="67" t="s">
        <v>267</v>
      </c>
      <c r="E30" s="17" t="s">
        <v>584</v>
      </c>
      <c r="F30" s="12">
        <v>4300</v>
      </c>
      <c r="G30" s="12">
        <v>4500</v>
      </c>
      <c r="H30" s="12">
        <f>表3[[#This Row],[售价]]*1.6%</f>
        <v>72</v>
      </c>
      <c r="I30" s="62">
        <f>表3[[#This Row],[售价]]-表3[[#This Row],[手续费]]</f>
        <v>4428</v>
      </c>
      <c r="J30" s="50">
        <f>表3[[#This Row],[售价]]-表3[[#This Row],[成本]]-表3[[#This Row],[手续费]]</f>
        <v>128</v>
      </c>
      <c r="K30" s="50"/>
      <c r="L30" s="64">
        <v>46170</v>
      </c>
    </row>
    <row r="31" spans="1:12" ht="22.5" customHeight="1">
      <c r="A31" s="15" t="s">
        <v>256</v>
      </c>
      <c r="B31" s="16" t="s">
        <v>257</v>
      </c>
      <c r="C31" s="67">
        <v>64</v>
      </c>
      <c r="D31" s="67" t="s">
        <v>247</v>
      </c>
      <c r="E31" s="17" t="s">
        <v>585</v>
      </c>
      <c r="F31" s="12">
        <v>400</v>
      </c>
      <c r="G31" s="12">
        <v>600</v>
      </c>
      <c r="H31" s="12">
        <f>表3[[#This Row],[售价]]*1.6%</f>
        <v>9.6</v>
      </c>
      <c r="I31" s="62">
        <f>表3[[#This Row],[售价]]-表3[[#This Row],[手续费]]</f>
        <v>590.4</v>
      </c>
      <c r="J31" s="50">
        <f>表3[[#This Row],[售价]]-表3[[#This Row],[成本]]-表3[[#This Row],[手续费]]</f>
        <v>190.4</v>
      </c>
      <c r="K31" s="50"/>
      <c r="L31" s="64">
        <v>46170</v>
      </c>
    </row>
    <row r="32" spans="1:12" ht="22.5" customHeight="1">
      <c r="A32" s="15" t="s">
        <v>239</v>
      </c>
      <c r="B32" s="16">
        <v>0.79</v>
      </c>
      <c r="C32" s="67">
        <v>256</v>
      </c>
      <c r="D32" s="67" t="s">
        <v>240</v>
      </c>
      <c r="E32" s="17" t="s">
        <v>586</v>
      </c>
      <c r="F32" s="12">
        <v>800</v>
      </c>
      <c r="G32" s="12">
        <v>1500</v>
      </c>
      <c r="H32" s="12">
        <f>表3[[#This Row],[售价]]*1.6%</f>
        <v>24</v>
      </c>
      <c r="I32" s="62">
        <f>表3[[#This Row],[售价]]-表3[[#This Row],[手续费]]</f>
        <v>1476</v>
      </c>
      <c r="J32" s="50">
        <f>表3[[#This Row],[售价]]-表3[[#This Row],[成本]]-表3[[#This Row],[手续费]]</f>
        <v>676</v>
      </c>
      <c r="K32" s="50"/>
      <c r="L32" s="64">
        <v>46170</v>
      </c>
    </row>
    <row r="33" spans="1:13" ht="22.5" customHeight="1">
      <c r="A33" s="15" t="s">
        <v>553</v>
      </c>
      <c r="B33" s="16">
        <v>0.97</v>
      </c>
      <c r="C33" s="67">
        <v>256</v>
      </c>
      <c r="D33" s="67" t="s">
        <v>240</v>
      </c>
      <c r="E33" s="17" t="s">
        <v>587</v>
      </c>
      <c r="F33" s="12">
        <v>5350</v>
      </c>
      <c r="G33" s="12">
        <v>5900</v>
      </c>
      <c r="H33" s="12">
        <f>表3[[#This Row],[售价]]*1.6%</f>
        <v>94.4</v>
      </c>
      <c r="I33" s="62">
        <f>表3[[#This Row],[售价]]-表3[[#This Row],[手续费]]</f>
        <v>5805.6</v>
      </c>
      <c r="J33" s="50">
        <f>表3[[#This Row],[售价]]-表3[[#This Row],[成本]]-表3[[#This Row],[手续费]]</f>
        <v>455.6</v>
      </c>
      <c r="K33" s="50"/>
      <c r="L33" s="64">
        <v>46170</v>
      </c>
    </row>
    <row r="34" spans="1:13" ht="22.5" customHeight="1">
      <c r="A34" s="67" t="s">
        <v>274</v>
      </c>
      <c r="B34" s="67">
        <f>SUBTOTAL(103,表3[名称])</f>
        <v>30</v>
      </c>
      <c r="C34" s="67"/>
      <c r="D34" s="67"/>
      <c r="E34" s="67"/>
      <c r="F34" s="23">
        <f>SUBTOTAL(109,表3[成本])</f>
        <v>49404</v>
      </c>
      <c r="G34" s="12">
        <f>SUBTOTAL(109,表3[售价])</f>
        <v>62300</v>
      </c>
      <c r="H34" s="12">
        <f>SUBTOTAL(109,表3[手续费])</f>
        <v>996.79999999999984</v>
      </c>
      <c r="I34" s="50">
        <f>SUBTOTAL(109,表3[实际到手])</f>
        <v>61303.19999999999</v>
      </c>
      <c r="J34" s="50">
        <f>SUBTOTAL(109,表3[预计利润])</f>
        <v>11899.2</v>
      </c>
      <c r="K34" s="50">
        <f>SUBTOTAL(109,表3[备注])</f>
        <v>0</v>
      </c>
      <c r="L34" s="68">
        <f ca="1">TODAY()</f>
        <v>46171</v>
      </c>
    </row>
    <row r="35" spans="1:13">
      <c r="A35" s="81" t="s">
        <v>46</v>
      </c>
      <c r="B35" s="81"/>
      <c r="C35" s="81"/>
      <c r="D35" s="81"/>
      <c r="E35" s="81"/>
      <c r="F35" s="81"/>
      <c r="G35" s="82">
        <f ca="1">TODAY()</f>
        <v>46171</v>
      </c>
      <c r="H35" s="82"/>
      <c r="I35" s="82"/>
      <c r="J35" s="82"/>
      <c r="K35" s="82"/>
      <c r="L35" s="82"/>
    </row>
    <row r="36" spans="1:13">
      <c r="A36" s="81"/>
      <c r="B36" s="81"/>
      <c r="C36" s="81"/>
      <c r="D36" s="81"/>
      <c r="E36" s="81"/>
      <c r="F36" s="81"/>
      <c r="G36" s="82"/>
      <c r="H36" s="82"/>
      <c r="I36" s="82"/>
      <c r="J36" s="82"/>
      <c r="K36" s="82"/>
      <c r="L36" s="82"/>
    </row>
    <row r="37" spans="1:13" ht="15">
      <c r="A37" s="81"/>
      <c r="B37" s="81"/>
      <c r="C37" s="81"/>
      <c r="D37" s="81"/>
      <c r="E37" s="81"/>
      <c r="F37" s="81"/>
      <c r="G37" s="82"/>
      <c r="H37" s="82"/>
      <c r="I37" s="82"/>
      <c r="J37" s="82"/>
      <c r="K37" s="82"/>
      <c r="L37" s="82"/>
      <c r="M37" s="66" t="s">
        <v>257</v>
      </c>
    </row>
    <row r="38" spans="1:13">
      <c r="A38" s="81"/>
      <c r="B38" s="81"/>
      <c r="C38" s="81"/>
      <c r="D38" s="81"/>
      <c r="E38" s="81"/>
      <c r="F38" s="81"/>
      <c r="G38" s="82"/>
      <c r="H38" s="82"/>
      <c r="I38" s="82"/>
      <c r="J38" s="82"/>
      <c r="K38" s="82"/>
      <c r="L38" s="82"/>
    </row>
    <row r="39" spans="1:13" ht="21.75" customHeight="1">
      <c r="A39" s="14"/>
      <c r="B39" s="14"/>
      <c r="C39" s="14"/>
      <c r="D39" s="14"/>
      <c r="E39" s="14"/>
      <c r="F39" s="14"/>
      <c r="G39" s="36"/>
      <c r="H39" s="36"/>
      <c r="I39" s="36"/>
      <c r="J39" s="36"/>
      <c r="K39" s="36"/>
      <c r="L39" s="36"/>
    </row>
    <row r="40" spans="1:13">
      <c r="A40" s="81" t="s">
        <v>275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</row>
    <row r="41" spans="1:13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</row>
    <row r="42" spans="1:13" ht="22.5" customHeight="1">
      <c r="A42" s="67" t="s">
        <v>227</v>
      </c>
      <c r="B42" s="16" t="s">
        <v>228</v>
      </c>
      <c r="C42" s="67" t="s">
        <v>229</v>
      </c>
      <c r="D42" s="67" t="s">
        <v>230</v>
      </c>
      <c r="E42" s="17" t="s">
        <v>231</v>
      </c>
      <c r="F42" s="12" t="s">
        <v>232</v>
      </c>
      <c r="G42" s="12" t="s">
        <v>233</v>
      </c>
      <c r="H42" s="12" t="s">
        <v>234</v>
      </c>
      <c r="I42" s="61" t="s">
        <v>235</v>
      </c>
      <c r="J42" s="50" t="s">
        <v>236</v>
      </c>
      <c r="K42" s="50" t="s">
        <v>237</v>
      </c>
      <c r="L42" s="67" t="s">
        <v>238</v>
      </c>
    </row>
    <row r="43" spans="1:13" ht="22.5" customHeight="1">
      <c r="A43" s="15" t="s">
        <v>253</v>
      </c>
      <c r="B43" s="16"/>
      <c r="C43" s="67"/>
      <c r="D43" s="67"/>
      <c r="E43" s="17"/>
      <c r="F43" s="12">
        <v>0</v>
      </c>
      <c r="G43" s="12">
        <v>0</v>
      </c>
      <c r="H43" s="12">
        <f>表3_6[[#This Row],[售价]]*1.6%</f>
        <v>0</v>
      </c>
      <c r="I43" s="62">
        <f>表3_6[[#This Row],[售价]]-表3_6[[#This Row],[手续费]]</f>
        <v>0</v>
      </c>
      <c r="J43" s="50">
        <f>表3_6[[#This Row],[售价]]-表3_6[[#This Row],[成本]]-表3_6[[#This Row],[手续费]]</f>
        <v>0</v>
      </c>
      <c r="K43" s="50"/>
      <c r="L43" s="64">
        <v>46108</v>
      </c>
    </row>
    <row r="44" spans="1:13" ht="22.5" customHeight="1">
      <c r="A44" s="15" t="s">
        <v>261</v>
      </c>
      <c r="B44" s="16">
        <v>0.81</v>
      </c>
      <c r="C44" s="67">
        <v>64</v>
      </c>
      <c r="D44" s="67" t="s">
        <v>247</v>
      </c>
      <c r="E44" s="17" t="s">
        <v>287</v>
      </c>
      <c r="F44" s="12">
        <v>350</v>
      </c>
      <c r="G44" s="12">
        <v>600</v>
      </c>
      <c r="H44" s="12">
        <f>表3_6[[#This Row],[售价]]*1.6%</f>
        <v>9.6</v>
      </c>
      <c r="I44" s="63">
        <f>表3_6[[#This Row],[售价]]-表3_6[[#This Row],[手续费]]</f>
        <v>590.4</v>
      </c>
      <c r="J44" s="50">
        <f>表3_6[[#This Row],[售价]]-表3_6[[#This Row],[成本]]-表3_6[[#This Row],[手续费]]</f>
        <v>240.4</v>
      </c>
      <c r="K44" s="67"/>
      <c r="L44" s="64">
        <v>46129</v>
      </c>
    </row>
    <row r="45" spans="1:13" ht="22.5" customHeight="1">
      <c r="A45" s="67" t="s">
        <v>286</v>
      </c>
      <c r="B45" s="16">
        <v>0.65</v>
      </c>
      <c r="C45" s="67">
        <v>128</v>
      </c>
      <c r="D45" s="67" t="s">
        <v>267</v>
      </c>
      <c r="E45" s="17" t="s">
        <v>532</v>
      </c>
      <c r="F45" s="12">
        <v>700</v>
      </c>
      <c r="G45" s="12">
        <v>1000</v>
      </c>
      <c r="H45" s="12">
        <f>表3_6[[#This Row],[售价]]*1.6%</f>
        <v>16</v>
      </c>
      <c r="I45" s="63">
        <f>表3_6[[#This Row],[售价]]-表3_6[[#This Row],[手续费]]</f>
        <v>984</v>
      </c>
      <c r="J45" s="50">
        <f>表3_6[[#This Row],[售价]]-表3_6[[#This Row],[成本]]-表3_6[[#This Row],[手续费]]</f>
        <v>284</v>
      </c>
      <c r="K45" s="67"/>
      <c r="L45" s="68">
        <v>46146</v>
      </c>
    </row>
    <row r="46" spans="1:13" ht="22.5" customHeight="1">
      <c r="A46" s="15" t="s">
        <v>536</v>
      </c>
      <c r="B46" s="16"/>
      <c r="C46" s="67" t="s">
        <v>251</v>
      </c>
      <c r="D46" s="67" t="s">
        <v>267</v>
      </c>
      <c r="E46" s="17" t="s">
        <v>537</v>
      </c>
      <c r="F46" s="12">
        <v>1300</v>
      </c>
      <c r="G46" s="12">
        <v>1700</v>
      </c>
      <c r="H46" s="12">
        <f>表3_6[[#This Row],[售价]]*1.6%</f>
        <v>27.2</v>
      </c>
      <c r="I46" s="63">
        <f>表3_6[[#This Row],[售价]]-表3_6[[#This Row],[手续费]]</f>
        <v>1672.8</v>
      </c>
      <c r="J46" s="50">
        <f>表3_6[[#This Row],[售价]]-表3_6[[#This Row],[成本]]-表3_6[[#This Row],[手续费]]</f>
        <v>372.8</v>
      </c>
      <c r="K46" s="67"/>
      <c r="L46" s="64">
        <v>46149</v>
      </c>
    </row>
    <row r="47" spans="1:13" ht="22.5" customHeight="1">
      <c r="A47" s="15" t="s">
        <v>531</v>
      </c>
      <c r="B47" s="16"/>
      <c r="C47" s="67">
        <v>128</v>
      </c>
      <c r="D47" s="67" t="s">
        <v>240</v>
      </c>
      <c r="E47" s="17" t="s">
        <v>541</v>
      </c>
      <c r="F47" s="12">
        <v>1800</v>
      </c>
      <c r="G47" s="12">
        <v>2100</v>
      </c>
      <c r="H47" s="12">
        <f>表3_6[[#This Row],[售价]]*1.6%</f>
        <v>33.6</v>
      </c>
      <c r="I47" s="63">
        <f>表3_6[[#This Row],[售价]]-表3_6[[#This Row],[手续费]]</f>
        <v>2066.4</v>
      </c>
      <c r="J47" s="50">
        <f>表3_6[[#This Row],[售价]]-表3_6[[#This Row],[成本]]-表3_6[[#This Row],[手续费]]</f>
        <v>266.39999999999998</v>
      </c>
      <c r="K47" s="67"/>
      <c r="L47" s="64">
        <v>46150</v>
      </c>
    </row>
    <row r="48" spans="1:13" ht="22.5" customHeight="1">
      <c r="A48" s="15" t="s">
        <v>538</v>
      </c>
      <c r="B48" s="16">
        <v>0.95</v>
      </c>
      <c r="C48" s="67" t="s">
        <v>243</v>
      </c>
      <c r="D48" s="67" t="s">
        <v>240</v>
      </c>
      <c r="E48" s="17" t="s">
        <v>539</v>
      </c>
      <c r="F48" s="12">
        <v>400</v>
      </c>
      <c r="G48" s="12">
        <v>600</v>
      </c>
      <c r="H48" s="12">
        <f>表3_6[[#This Row],[售价]]*1.6%</f>
        <v>9.6</v>
      </c>
      <c r="I48" s="62">
        <f>表3_6[[#This Row],[售价]]-表3_6[[#This Row],[手续费]]</f>
        <v>590.4</v>
      </c>
      <c r="J48" s="50">
        <f>表3_6[[#This Row],[售价]]-表3_6[[#This Row],[成本]]-表3_6[[#This Row],[手续费]]</f>
        <v>190.4</v>
      </c>
      <c r="K48" s="67"/>
      <c r="L48" s="64">
        <v>46150</v>
      </c>
    </row>
    <row r="49" spans="1:12" ht="22.5" customHeight="1">
      <c r="A49" s="15" t="s">
        <v>546</v>
      </c>
      <c r="B49" s="16"/>
      <c r="C49" s="67">
        <v>128</v>
      </c>
      <c r="D49" s="67" t="s">
        <v>255</v>
      </c>
      <c r="E49" s="17" t="s">
        <v>547</v>
      </c>
      <c r="F49" s="12">
        <v>350</v>
      </c>
      <c r="G49" s="12">
        <v>600</v>
      </c>
      <c r="H49" s="12">
        <f>表3_6[[#This Row],[售价]]*1.6%</f>
        <v>9.6</v>
      </c>
      <c r="I49" s="63">
        <f>表3_6[[#This Row],[售价]]-表3_6[[#This Row],[手续费]]</f>
        <v>590.4</v>
      </c>
      <c r="J49" s="50">
        <f>表3_6[[#This Row],[售价]]-表3_6[[#This Row],[成本]]-表3_6[[#This Row],[手续费]]</f>
        <v>240.4</v>
      </c>
      <c r="K49" s="67"/>
      <c r="L49" s="64">
        <v>46156</v>
      </c>
    </row>
    <row r="50" spans="1:12" ht="22.5" customHeight="1">
      <c r="A50" s="15" t="s">
        <v>553</v>
      </c>
      <c r="B50" s="16">
        <v>0.9</v>
      </c>
      <c r="C50" s="67">
        <v>128</v>
      </c>
      <c r="D50" s="67" t="s">
        <v>247</v>
      </c>
      <c r="E50" s="17" t="s">
        <v>554</v>
      </c>
      <c r="F50" s="12">
        <v>4000</v>
      </c>
      <c r="G50" s="12">
        <v>4400</v>
      </c>
      <c r="H50" s="12">
        <f>表3_6[[#This Row],[售价]]*1.6%</f>
        <v>70.400000000000006</v>
      </c>
      <c r="I50" s="62">
        <f>表3_6[[#This Row],[售价]]-表3_6[[#This Row],[手续费]]</f>
        <v>4329.6000000000004</v>
      </c>
      <c r="J50" s="50">
        <f>表3_6[[#This Row],[售价]]-表3_6[[#This Row],[成本]]-表3_6[[#This Row],[手续费]]</f>
        <v>329.6</v>
      </c>
      <c r="K50" s="67"/>
      <c r="L50" s="64">
        <v>46159</v>
      </c>
    </row>
    <row r="51" spans="1:12" ht="22.5" customHeight="1">
      <c r="A51" s="15" t="s">
        <v>558</v>
      </c>
      <c r="B51" s="16">
        <v>0.92</v>
      </c>
      <c r="C51" s="67" t="s">
        <v>246</v>
      </c>
      <c r="D51" s="67" t="s">
        <v>247</v>
      </c>
      <c r="E51" s="17" t="s">
        <v>559</v>
      </c>
      <c r="F51" s="12">
        <v>2300</v>
      </c>
      <c r="G51" s="12">
        <v>2700</v>
      </c>
      <c r="H51" s="12">
        <f>表3_6[[#This Row],[售价]]*1.6%</f>
        <v>43.2</v>
      </c>
      <c r="I51" s="62">
        <f>表3_6[[#This Row],[售价]]-表3_6[[#This Row],[手续费]]</f>
        <v>2656.8</v>
      </c>
      <c r="J51" s="50">
        <f>表3_6[[#This Row],[售价]]-表3_6[[#This Row],[成本]]-表3_6[[#This Row],[手续费]]</f>
        <v>356.8</v>
      </c>
      <c r="K51" s="67"/>
      <c r="L51" s="64">
        <v>46162</v>
      </c>
    </row>
    <row r="52" spans="1:12" ht="22.5" customHeight="1">
      <c r="A52" s="15" t="s">
        <v>560</v>
      </c>
      <c r="B52" s="16">
        <v>0.99</v>
      </c>
      <c r="C52" s="67" t="s">
        <v>249</v>
      </c>
      <c r="D52" s="67" t="s">
        <v>255</v>
      </c>
      <c r="E52" s="17" t="s">
        <v>561</v>
      </c>
      <c r="F52" s="12">
        <v>1100</v>
      </c>
      <c r="G52" s="12">
        <v>1400</v>
      </c>
      <c r="H52" s="12">
        <f>表3_6[[#This Row],[售价]]*1.6%</f>
        <v>22.400000000000002</v>
      </c>
      <c r="I52" s="62">
        <f>表3_6[[#This Row],[售价]]-表3_6[[#This Row],[手续费]]</f>
        <v>1377.6</v>
      </c>
      <c r="J52" s="50">
        <f>表3_6[[#This Row],[售价]]-表3_6[[#This Row],[成本]]-表3_6[[#This Row],[手续费]]</f>
        <v>277.60000000000002</v>
      </c>
      <c r="K52" s="67"/>
      <c r="L52" s="64">
        <v>46163</v>
      </c>
    </row>
    <row r="53" spans="1:12" ht="22.5" customHeight="1">
      <c r="A53" s="15" t="s">
        <v>563</v>
      </c>
      <c r="B53" s="16">
        <v>1</v>
      </c>
      <c r="C53" s="67" t="s">
        <v>249</v>
      </c>
      <c r="D53" s="67" t="s">
        <v>255</v>
      </c>
      <c r="E53" s="17" t="s">
        <v>564</v>
      </c>
      <c r="F53" s="12">
        <v>1400</v>
      </c>
      <c r="G53" s="12">
        <v>1700</v>
      </c>
      <c r="H53" s="12">
        <f>表3_6[[#This Row],[售价]]*1.6%</f>
        <v>27.2</v>
      </c>
      <c r="I53" s="62">
        <f>表3_6[[#This Row],[售价]]-表3_6[[#This Row],[手续费]]</f>
        <v>1672.8</v>
      </c>
      <c r="J53" s="50">
        <f>表3_6[[#This Row],[售价]]-表3_6[[#This Row],[成本]]-表3_6[[#This Row],[手续费]]</f>
        <v>272.8</v>
      </c>
      <c r="K53" s="67"/>
      <c r="L53" s="64">
        <v>46164</v>
      </c>
    </row>
    <row r="54" spans="1:12" ht="22.5" customHeight="1">
      <c r="A54" s="15" t="s">
        <v>261</v>
      </c>
      <c r="B54" s="16">
        <v>0.83</v>
      </c>
      <c r="C54" s="67">
        <v>256</v>
      </c>
      <c r="D54" s="67" t="s">
        <v>271</v>
      </c>
      <c r="E54" s="17" t="s">
        <v>283</v>
      </c>
      <c r="F54" s="12">
        <v>400</v>
      </c>
      <c r="G54" s="12">
        <v>900</v>
      </c>
      <c r="H54" s="12">
        <f>表3_6[[#This Row],[售价]]*1.6%</f>
        <v>14.4</v>
      </c>
      <c r="I54" s="62">
        <f>表3_6[[#This Row],[售价]]-表3_6[[#This Row],[手续费]]</f>
        <v>885.6</v>
      </c>
      <c r="J54" s="50">
        <f>表3_6[[#This Row],[售价]]-表3_6[[#This Row],[成本]]-表3_6[[#This Row],[手续费]]</f>
        <v>485.6</v>
      </c>
      <c r="K54" s="67"/>
      <c r="L54" s="64">
        <v>46167</v>
      </c>
    </row>
    <row r="55" spans="1:12" ht="22.5" customHeight="1">
      <c r="A55" s="15" t="s">
        <v>256</v>
      </c>
      <c r="B55" s="16">
        <v>0.77</v>
      </c>
      <c r="C55" s="67">
        <v>128</v>
      </c>
      <c r="D55" s="67" t="s">
        <v>271</v>
      </c>
      <c r="E55" s="17" t="s">
        <v>280</v>
      </c>
      <c r="F55" s="12">
        <v>290</v>
      </c>
      <c r="G55" s="12">
        <v>600</v>
      </c>
      <c r="H55" s="12">
        <f>表3_6[[#This Row],[售价]]*1.6%</f>
        <v>9.6</v>
      </c>
      <c r="I55" s="62">
        <f>表3_6[[#This Row],[售价]]-表3_6[[#This Row],[手续费]]</f>
        <v>590.4</v>
      </c>
      <c r="J55" s="50">
        <f>表3_6[[#This Row],[售价]]-表3_6[[#This Row],[成本]]-表3_6[[#This Row],[手续费]]</f>
        <v>300.39999999999998</v>
      </c>
      <c r="K55" s="67"/>
      <c r="L55" s="64">
        <v>46167</v>
      </c>
    </row>
    <row r="56" spans="1:12" ht="22.5" customHeight="1">
      <c r="A56" s="15" t="s">
        <v>575</v>
      </c>
      <c r="B56" s="16">
        <v>0.75</v>
      </c>
      <c r="C56" s="67">
        <v>64</v>
      </c>
      <c r="D56" s="67" t="s">
        <v>276</v>
      </c>
      <c r="E56" s="17" t="s">
        <v>277</v>
      </c>
      <c r="F56" s="12">
        <v>288</v>
      </c>
      <c r="G56" s="12">
        <v>700</v>
      </c>
      <c r="H56" s="12">
        <f>表3_6[[#This Row],[售价]]*1.6%</f>
        <v>11.200000000000001</v>
      </c>
      <c r="I56" s="62">
        <f>表3_6[[#This Row],[售价]]-表3_6[[#This Row],[手续费]]</f>
        <v>688.8</v>
      </c>
      <c r="J56" s="50">
        <f>表3_6[[#This Row],[售价]]-表3_6[[#This Row],[成本]]-表3_6[[#This Row],[手续费]]</f>
        <v>400.8</v>
      </c>
      <c r="K56" s="67"/>
      <c r="L56" s="64">
        <v>46167</v>
      </c>
    </row>
    <row r="57" spans="1:12" ht="22.5" customHeight="1">
      <c r="A57" s="15" t="s">
        <v>245</v>
      </c>
      <c r="B57" s="16"/>
      <c r="C57" s="67" t="s">
        <v>246</v>
      </c>
      <c r="D57" s="67" t="s">
        <v>247</v>
      </c>
      <c r="E57" s="17" t="s">
        <v>248</v>
      </c>
      <c r="F57" s="12">
        <v>700</v>
      </c>
      <c r="G57" s="12">
        <v>1000</v>
      </c>
      <c r="H57" s="12">
        <f>表3_6[[#This Row],[售价]]*1.6%</f>
        <v>16</v>
      </c>
      <c r="I57" s="62">
        <f>表3_6[[#This Row],[售价]]-表3_6[[#This Row],[手续费]]</f>
        <v>984</v>
      </c>
      <c r="J57" s="50">
        <f>表3_6[[#This Row],[售价]]-表3_6[[#This Row],[成本]]-表3_6[[#This Row],[手续费]]</f>
        <v>284</v>
      </c>
      <c r="K57" s="67"/>
      <c r="L57" s="64">
        <v>46167</v>
      </c>
    </row>
    <row r="58" spans="1:12" ht="22.5" customHeight="1">
      <c r="A58" s="15" t="s">
        <v>278</v>
      </c>
      <c r="B58" s="16">
        <v>0.92</v>
      </c>
      <c r="C58" s="67" t="s">
        <v>249</v>
      </c>
      <c r="D58" s="67" t="s">
        <v>247</v>
      </c>
      <c r="E58" s="17" t="s">
        <v>279</v>
      </c>
      <c r="F58" s="12">
        <v>900</v>
      </c>
      <c r="G58" s="12">
        <v>1200</v>
      </c>
      <c r="H58" s="12">
        <f>表3_6[[#This Row],[售价]]*1.6%</f>
        <v>19.2</v>
      </c>
      <c r="I58" s="62">
        <f>表3_6[[#This Row],[售价]]-表3_6[[#This Row],[手续费]]</f>
        <v>1180.8</v>
      </c>
      <c r="J58" s="50">
        <f>表3_6[[#This Row],[售价]]-表3_6[[#This Row],[成本]]-表3_6[[#This Row],[手续费]]</f>
        <v>280.8</v>
      </c>
      <c r="K58" s="67"/>
      <c r="L58" s="64">
        <v>46167</v>
      </c>
    </row>
    <row r="59" spans="1:12" ht="22.5" customHeight="1">
      <c r="A59" s="15" t="s">
        <v>239</v>
      </c>
      <c r="B59" s="16"/>
      <c r="C59" s="67">
        <v>256</v>
      </c>
      <c r="D59" s="67" t="s">
        <v>240</v>
      </c>
      <c r="E59" s="17" t="s">
        <v>241</v>
      </c>
      <c r="F59" s="12">
        <v>800</v>
      </c>
      <c r="G59" s="12">
        <v>1400</v>
      </c>
      <c r="H59" s="12">
        <f>表3_6[[#This Row],[售价]]*1.6%</f>
        <v>22.400000000000002</v>
      </c>
      <c r="I59" s="62">
        <f>表3_6[[#This Row],[售价]]-表3_6[[#This Row],[手续费]]</f>
        <v>1377.6</v>
      </c>
      <c r="J59" s="50">
        <f>表3_6[[#This Row],[售价]]-表3_6[[#This Row],[成本]]-表3_6[[#This Row],[手续费]]</f>
        <v>577.6</v>
      </c>
      <c r="K59" s="67"/>
      <c r="L59" s="64">
        <v>46167</v>
      </c>
    </row>
    <row r="60" spans="1:12" ht="22.5" customHeight="1">
      <c r="A60" s="15" t="s">
        <v>553</v>
      </c>
      <c r="B60" s="16">
        <v>1</v>
      </c>
      <c r="C60" s="67">
        <v>256</v>
      </c>
      <c r="D60" s="67" t="s">
        <v>255</v>
      </c>
      <c r="E60" s="17" t="s">
        <v>588</v>
      </c>
      <c r="F60" s="12">
        <v>6081</v>
      </c>
      <c r="G60" s="12">
        <v>6700</v>
      </c>
      <c r="H60" s="12">
        <f>表3_6[[#This Row],[售价]]*1.6%</f>
        <v>107.2</v>
      </c>
      <c r="I60" s="62">
        <f>表3_6[[#This Row],[售价]]-表3_6[[#This Row],[手续费]]</f>
        <v>6592.8</v>
      </c>
      <c r="J60" s="50">
        <f>表3_6[[#This Row],[售价]]-表3_6[[#This Row],[成本]]-表3_6[[#This Row],[手续费]]</f>
        <v>511.8</v>
      </c>
      <c r="K60" s="67"/>
      <c r="L60" s="64">
        <v>46170</v>
      </c>
    </row>
    <row r="61" spans="1:12" ht="22.5" customHeight="1">
      <c r="A61" s="15" t="s">
        <v>286</v>
      </c>
      <c r="B61" s="16">
        <v>0.76</v>
      </c>
      <c r="C61" s="67">
        <v>128</v>
      </c>
      <c r="D61" s="67" t="s">
        <v>255</v>
      </c>
      <c r="E61" s="17" t="s">
        <v>589</v>
      </c>
      <c r="F61" s="12">
        <v>800</v>
      </c>
      <c r="G61" s="12">
        <v>1100</v>
      </c>
      <c r="H61" s="12">
        <f>表3_6[[#This Row],[售价]]*1.6%</f>
        <v>17.600000000000001</v>
      </c>
      <c r="I61" s="62">
        <f>表3_6[[#This Row],[售价]]-表3_6[[#This Row],[手续费]]</f>
        <v>1082.4000000000001</v>
      </c>
      <c r="J61" s="50">
        <f>表3_6[[#This Row],[售价]]-表3_6[[#This Row],[成本]]-表3_6[[#This Row],[手续费]]</f>
        <v>282.39999999999998</v>
      </c>
      <c r="K61" s="67"/>
      <c r="L61" s="64">
        <v>46170</v>
      </c>
    </row>
    <row r="62" spans="1:12" ht="22.5" customHeight="1">
      <c r="A62" s="67" t="s">
        <v>45</v>
      </c>
      <c r="B62" s="67">
        <f>SUBTOTAL(103,表3_6[名称])</f>
        <v>19</v>
      </c>
      <c r="C62" s="67"/>
      <c r="D62" s="67"/>
      <c r="E62" s="17"/>
      <c r="F62" s="23">
        <f>SUBTOTAL(109,表3_6[成本])</f>
        <v>23959</v>
      </c>
      <c r="G62" s="12">
        <f>SUBTOTAL(109,表3_6[售价])</f>
        <v>30400</v>
      </c>
      <c r="H62" s="12">
        <f>SUBTOTAL(109,表3_6[手续费])</f>
        <v>486.4</v>
      </c>
      <c r="I62" s="50">
        <f>SUBTOTAL(109,表3_6[实际到手])</f>
        <v>29913.599999999999</v>
      </c>
      <c r="J62" s="50">
        <f>SUBTOTAL(109,表3_6[预计利润])</f>
        <v>5954.6</v>
      </c>
      <c r="K62" s="50">
        <f>SUBTOTAL(109,表3_6[备注])</f>
        <v>0</v>
      </c>
      <c r="L62" s="68">
        <f ca="1">TODAY()</f>
        <v>46171</v>
      </c>
    </row>
    <row r="63" spans="1:12">
      <c r="A63" s="81" t="s">
        <v>46</v>
      </c>
      <c r="B63" s="81"/>
      <c r="C63" s="81"/>
      <c r="D63" s="81"/>
      <c r="E63" s="81"/>
      <c r="F63" s="81"/>
      <c r="G63" s="82">
        <f ca="1">TODAY()</f>
        <v>46171</v>
      </c>
      <c r="H63" s="82"/>
      <c r="I63" s="82"/>
      <c r="J63" s="82"/>
      <c r="K63" s="82"/>
      <c r="L63" s="82"/>
    </row>
    <row r="64" spans="1:12">
      <c r="A64" s="81"/>
      <c r="B64" s="81"/>
      <c r="C64" s="81"/>
      <c r="D64" s="81"/>
      <c r="E64" s="81"/>
      <c r="F64" s="81"/>
      <c r="G64" s="82"/>
      <c r="H64" s="82"/>
      <c r="I64" s="82"/>
      <c r="J64" s="82"/>
      <c r="K64" s="82"/>
      <c r="L64" s="82"/>
    </row>
    <row r="65" spans="1:12">
      <c r="A65" s="81"/>
      <c r="B65" s="81"/>
      <c r="C65" s="81"/>
      <c r="D65" s="81"/>
      <c r="E65" s="81"/>
      <c r="F65" s="81"/>
      <c r="G65" s="82"/>
      <c r="H65" s="82"/>
      <c r="I65" s="82"/>
      <c r="J65" s="82"/>
      <c r="K65" s="82"/>
      <c r="L65" s="82"/>
    </row>
    <row r="66" spans="1:12">
      <c r="A66" s="81"/>
      <c r="B66" s="81"/>
      <c r="C66" s="81"/>
      <c r="D66" s="81"/>
      <c r="E66" s="81"/>
      <c r="F66" s="81"/>
      <c r="G66" s="82"/>
      <c r="H66" s="82"/>
      <c r="I66" s="82"/>
      <c r="J66" s="82"/>
      <c r="K66" s="82"/>
      <c r="L66" s="82"/>
    </row>
    <row r="73" spans="1:12">
      <c r="I73" s="42" t="s">
        <v>257</v>
      </c>
      <c r="J73" s="42"/>
      <c r="K73" s="42"/>
      <c r="L73" s="51"/>
    </row>
    <row r="84" spans="9:12">
      <c r="I84" s="42"/>
      <c r="J84" s="42"/>
      <c r="K84" s="42"/>
      <c r="L84" s="51"/>
    </row>
  </sheetData>
  <mergeCells count="6">
    <mergeCell ref="A1:L2"/>
    <mergeCell ref="G35:L38"/>
    <mergeCell ref="A40:L41"/>
    <mergeCell ref="A63:F66"/>
    <mergeCell ref="G63:L66"/>
    <mergeCell ref="A35:F38"/>
  </mergeCells>
  <phoneticPr fontId="6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66"/>
  <sheetViews>
    <sheetView topLeftCell="A13" workbookViewId="0">
      <selection activeCell="F40" sqref="F40"/>
    </sheetView>
  </sheetViews>
  <sheetFormatPr defaultColWidth="9" defaultRowHeight="14.25"/>
  <cols>
    <col min="1" max="1" width="32" style="1" customWidth="1"/>
    <col min="2" max="2" width="52.125" style="1" customWidth="1"/>
    <col min="3" max="3" width="9" style="1"/>
    <col min="4" max="4" width="11.125" style="1" customWidth="1"/>
    <col min="5" max="5" width="14.625" style="1" customWidth="1"/>
    <col min="6" max="6" width="13.5" style="1" customWidth="1"/>
    <col min="7" max="16384" width="9" style="1"/>
  </cols>
  <sheetData>
    <row r="1" spans="1:6">
      <c r="A1" s="21" t="s">
        <v>288</v>
      </c>
      <c r="B1" s="21" t="s">
        <v>289</v>
      </c>
      <c r="C1" s="21" t="s">
        <v>290</v>
      </c>
      <c r="D1" s="24" t="s">
        <v>291</v>
      </c>
      <c r="E1" s="24" t="s">
        <v>292</v>
      </c>
      <c r="F1" s="25" t="s">
        <v>293</v>
      </c>
    </row>
    <row r="2" spans="1:6">
      <c r="A2" s="18" t="s">
        <v>294</v>
      </c>
      <c r="B2" s="18" t="s">
        <v>295</v>
      </c>
      <c r="C2" s="18">
        <v>344</v>
      </c>
      <c r="D2" s="19">
        <v>2.9</v>
      </c>
      <c r="E2" s="19">
        <f>表4[[#This Row],[数量]]*表4[[#This Row],[成本单价]]</f>
        <v>997.6</v>
      </c>
      <c r="F2" s="20">
        <v>15</v>
      </c>
    </row>
    <row r="3" spans="1:6">
      <c r="A3" s="18" t="s">
        <v>296</v>
      </c>
      <c r="B3" s="18" t="s">
        <v>297</v>
      </c>
      <c r="C3" s="18">
        <v>200</v>
      </c>
      <c r="D3" s="19">
        <v>3.3</v>
      </c>
      <c r="E3" s="19">
        <f>表4[[#This Row],[数量]]*表4[[#This Row],[成本单价]]</f>
        <v>660</v>
      </c>
      <c r="F3" s="20">
        <v>25</v>
      </c>
    </row>
    <row r="4" spans="1:6">
      <c r="A4" s="18" t="s">
        <v>298</v>
      </c>
      <c r="B4" s="18" t="s">
        <v>299</v>
      </c>
      <c r="C4" s="18">
        <v>110</v>
      </c>
      <c r="D4" s="19">
        <v>3.63</v>
      </c>
      <c r="E4" s="19">
        <f>表4[[#This Row],[数量]]*表4[[#This Row],[成本单价]]</f>
        <v>399.3</v>
      </c>
      <c r="F4" s="20">
        <v>35</v>
      </c>
    </row>
    <row r="5" spans="1:6">
      <c r="A5" s="18" t="s">
        <v>300</v>
      </c>
      <c r="B5" s="18" t="s">
        <v>301</v>
      </c>
      <c r="C5" s="18">
        <v>5</v>
      </c>
      <c r="D5" s="19">
        <v>5.5</v>
      </c>
      <c r="E5" s="19">
        <f>表4[[#This Row],[数量]]*表4[[#This Row],[成本单价]]</f>
        <v>27.5</v>
      </c>
      <c r="F5" s="20">
        <v>30</v>
      </c>
    </row>
    <row r="6" spans="1:6">
      <c r="A6" s="18" t="s">
        <v>300</v>
      </c>
      <c r="B6" s="18" t="s">
        <v>302</v>
      </c>
      <c r="C6" s="18">
        <v>5</v>
      </c>
      <c r="D6" s="19">
        <v>5.5</v>
      </c>
      <c r="E6" s="19">
        <f>表4[[#This Row],[数量]]*表4[[#This Row],[成本单价]]</f>
        <v>27.5</v>
      </c>
      <c r="F6" s="20">
        <v>30</v>
      </c>
    </row>
    <row r="7" spans="1:6">
      <c r="A7" s="18" t="s">
        <v>300</v>
      </c>
      <c r="B7" s="18" t="s">
        <v>303</v>
      </c>
      <c r="C7" s="18">
        <v>5</v>
      </c>
      <c r="D7" s="19">
        <v>5.5</v>
      </c>
      <c r="E7" s="19">
        <f>表4[[#This Row],[数量]]*表4[[#This Row],[成本单价]]</f>
        <v>27.5</v>
      </c>
      <c r="F7" s="20">
        <v>30</v>
      </c>
    </row>
    <row r="8" spans="1:6">
      <c r="A8" s="18" t="s">
        <v>300</v>
      </c>
      <c r="B8" s="18" t="s">
        <v>304</v>
      </c>
      <c r="C8" s="18">
        <v>5</v>
      </c>
      <c r="D8" s="19">
        <v>5.5</v>
      </c>
      <c r="E8" s="19">
        <f>表4[[#This Row],[数量]]*表4[[#This Row],[成本单价]]</f>
        <v>27.5</v>
      </c>
      <c r="F8" s="20">
        <v>30</v>
      </c>
    </row>
    <row r="9" spans="1:6">
      <c r="A9" s="18" t="s">
        <v>300</v>
      </c>
      <c r="B9" s="18" t="s">
        <v>305</v>
      </c>
      <c r="C9" s="18">
        <v>5</v>
      </c>
      <c r="D9" s="19">
        <v>5.5</v>
      </c>
      <c r="E9" s="19">
        <f>表4[[#This Row],[数量]]*表4[[#This Row],[成本单价]]</f>
        <v>27.5</v>
      </c>
      <c r="F9" s="20">
        <v>30</v>
      </c>
    </row>
    <row r="10" spans="1:6">
      <c r="A10" s="18" t="s">
        <v>300</v>
      </c>
      <c r="B10" s="18" t="s">
        <v>306</v>
      </c>
      <c r="C10" s="18">
        <v>5</v>
      </c>
      <c r="D10" s="19">
        <v>5.5</v>
      </c>
      <c r="E10" s="19">
        <f>表4[[#This Row],[数量]]*表4[[#This Row],[成本单价]]</f>
        <v>27.5</v>
      </c>
      <c r="F10" s="20">
        <v>30</v>
      </c>
    </row>
    <row r="11" spans="1:6">
      <c r="A11" s="18" t="s">
        <v>300</v>
      </c>
      <c r="B11" s="18" t="s">
        <v>307</v>
      </c>
      <c r="C11" s="18">
        <v>5</v>
      </c>
      <c r="D11" s="19">
        <v>5.5</v>
      </c>
      <c r="E11" s="19">
        <f>表4[[#This Row],[数量]]*表4[[#This Row],[成本单价]]</f>
        <v>27.5</v>
      </c>
      <c r="F11" s="20">
        <v>30</v>
      </c>
    </row>
    <row r="12" spans="1:6">
      <c r="A12" s="18" t="s">
        <v>300</v>
      </c>
      <c r="B12" s="18" t="s">
        <v>308</v>
      </c>
      <c r="C12" s="18">
        <v>5</v>
      </c>
      <c r="D12" s="19">
        <v>5.5</v>
      </c>
      <c r="E12" s="19">
        <f>表4[[#This Row],[数量]]*表4[[#This Row],[成本单价]]</f>
        <v>27.5</v>
      </c>
      <c r="F12" s="20">
        <v>30</v>
      </c>
    </row>
    <row r="13" spans="1:6">
      <c r="A13" s="18" t="s">
        <v>300</v>
      </c>
      <c r="B13" s="18" t="s">
        <v>309</v>
      </c>
      <c r="C13" s="18">
        <v>5</v>
      </c>
      <c r="D13" s="19">
        <v>5.5</v>
      </c>
      <c r="E13" s="19">
        <f>表4[[#This Row],[数量]]*表4[[#This Row],[成本单价]]</f>
        <v>27.5</v>
      </c>
      <c r="F13" s="20">
        <v>30</v>
      </c>
    </row>
    <row r="14" spans="1:6">
      <c r="A14" s="18" t="s">
        <v>300</v>
      </c>
      <c r="B14" s="18" t="s">
        <v>310</v>
      </c>
      <c r="C14" s="18">
        <v>5</v>
      </c>
      <c r="D14" s="19">
        <v>5.5</v>
      </c>
      <c r="E14" s="19">
        <f>表4[[#This Row],[数量]]*表4[[#This Row],[成本单价]]</f>
        <v>27.5</v>
      </c>
      <c r="F14" s="20">
        <v>30</v>
      </c>
    </row>
    <row r="15" spans="1:6">
      <c r="A15" s="18" t="s">
        <v>300</v>
      </c>
      <c r="B15" s="18" t="s">
        <v>311</v>
      </c>
      <c r="C15" s="18">
        <v>5</v>
      </c>
      <c r="D15" s="19">
        <v>5.5</v>
      </c>
      <c r="E15" s="19">
        <f>表4[[#This Row],[数量]]*表4[[#This Row],[成本单价]]</f>
        <v>27.5</v>
      </c>
      <c r="F15" s="20">
        <v>30</v>
      </c>
    </row>
    <row r="16" spans="1:6">
      <c r="A16" s="18" t="s">
        <v>312</v>
      </c>
      <c r="B16" s="18" t="s">
        <v>313</v>
      </c>
      <c r="C16" s="18">
        <v>85</v>
      </c>
      <c r="D16" s="19">
        <v>5.87</v>
      </c>
      <c r="E16" s="19">
        <f>表4[[#This Row],[数量]]*表4[[#This Row],[成本单价]]</f>
        <v>498.95</v>
      </c>
      <c r="F16" s="20">
        <v>35</v>
      </c>
    </row>
    <row r="17" spans="1:6">
      <c r="A17" s="18" t="s">
        <v>314</v>
      </c>
      <c r="B17" s="18" t="s">
        <v>315</v>
      </c>
      <c r="C17" s="18">
        <v>20</v>
      </c>
      <c r="D17" s="19">
        <v>5.99</v>
      </c>
      <c r="E17" s="19">
        <f>表4[[#This Row],[数量]]*表4[[#This Row],[成本单价]]</f>
        <v>119.80000000000001</v>
      </c>
      <c r="F17" s="20">
        <v>50</v>
      </c>
    </row>
    <row r="18" spans="1:6">
      <c r="A18" s="18" t="s">
        <v>314</v>
      </c>
      <c r="B18" s="18" t="s">
        <v>316</v>
      </c>
      <c r="C18" s="18">
        <v>20</v>
      </c>
      <c r="D18" s="19">
        <v>5.99</v>
      </c>
      <c r="E18" s="19">
        <f>表4[[#This Row],[数量]]*表4[[#This Row],[成本单价]]</f>
        <v>119.80000000000001</v>
      </c>
      <c r="F18" s="20">
        <v>50</v>
      </c>
    </row>
    <row r="19" spans="1:6">
      <c r="A19" s="18" t="s">
        <v>312</v>
      </c>
      <c r="B19" s="18" t="s">
        <v>317</v>
      </c>
      <c r="C19" s="18">
        <v>108</v>
      </c>
      <c r="D19" s="19">
        <v>6.15</v>
      </c>
      <c r="E19" s="19">
        <f>表4[[#This Row],[数量]]*表4[[#This Row],[成本单价]]</f>
        <v>664.2</v>
      </c>
      <c r="F19" s="20">
        <v>35</v>
      </c>
    </row>
    <row r="20" spans="1:6">
      <c r="A20" s="18" t="s">
        <v>298</v>
      </c>
      <c r="B20" s="18" t="s">
        <v>318</v>
      </c>
      <c r="C20" s="18">
        <v>105</v>
      </c>
      <c r="D20" s="19">
        <v>6.65</v>
      </c>
      <c r="E20" s="19">
        <f>表4[[#This Row],[数量]]*表4[[#This Row],[成本单价]]</f>
        <v>698.25</v>
      </c>
      <c r="F20" s="20">
        <v>45</v>
      </c>
    </row>
    <row r="21" spans="1:6">
      <c r="A21" s="18" t="s">
        <v>319</v>
      </c>
      <c r="B21" s="18" t="s">
        <v>320</v>
      </c>
      <c r="C21" s="18">
        <v>20</v>
      </c>
      <c r="D21" s="19">
        <v>6.99</v>
      </c>
      <c r="E21" s="19">
        <f>表4[[#This Row],[数量]]*表4[[#This Row],[成本单价]]</f>
        <v>139.80000000000001</v>
      </c>
      <c r="F21" s="20">
        <v>50</v>
      </c>
    </row>
    <row r="22" spans="1:6">
      <c r="A22" s="18" t="s">
        <v>319</v>
      </c>
      <c r="B22" s="18" t="s">
        <v>321</v>
      </c>
      <c r="C22" s="18">
        <v>20</v>
      </c>
      <c r="D22" s="19">
        <v>6.99</v>
      </c>
      <c r="E22" s="19">
        <f>表4[[#This Row],[数量]]*表4[[#This Row],[成本单价]]</f>
        <v>139.80000000000001</v>
      </c>
      <c r="F22" s="20">
        <v>50</v>
      </c>
    </row>
    <row r="23" spans="1:6">
      <c r="A23" s="18" t="s">
        <v>319</v>
      </c>
      <c r="B23" s="18" t="s">
        <v>322</v>
      </c>
      <c r="C23" s="18">
        <v>20</v>
      </c>
      <c r="D23" s="19">
        <v>6.99</v>
      </c>
      <c r="E23" s="19">
        <f>表4[[#This Row],[数量]]*表4[[#This Row],[成本单价]]</f>
        <v>139.80000000000001</v>
      </c>
      <c r="F23" s="20">
        <v>40</v>
      </c>
    </row>
    <row r="24" spans="1:6">
      <c r="A24" s="18" t="s">
        <v>323</v>
      </c>
      <c r="B24" s="18" t="s">
        <v>324</v>
      </c>
      <c r="C24" s="18">
        <v>55</v>
      </c>
      <c r="D24" s="19">
        <v>8</v>
      </c>
      <c r="E24" s="19">
        <f>表4[[#This Row],[数量]]*表4[[#This Row],[成本单价]]</f>
        <v>440</v>
      </c>
      <c r="F24" s="20">
        <v>45</v>
      </c>
    </row>
    <row r="25" spans="1:6">
      <c r="A25" s="18" t="s">
        <v>325</v>
      </c>
      <c r="B25" s="18" t="s">
        <v>326</v>
      </c>
      <c r="C25" s="18">
        <v>10</v>
      </c>
      <c r="D25" s="19">
        <v>8.5</v>
      </c>
      <c r="E25" s="19">
        <f>表4[[#This Row],[数量]]*表4[[#This Row],[成本单价]]</f>
        <v>85</v>
      </c>
      <c r="F25" s="20">
        <v>35</v>
      </c>
    </row>
    <row r="26" spans="1:6">
      <c r="A26" s="18" t="s">
        <v>327</v>
      </c>
      <c r="B26" s="18" t="s">
        <v>328</v>
      </c>
      <c r="C26" s="18">
        <v>42</v>
      </c>
      <c r="D26" s="19">
        <v>11.4</v>
      </c>
      <c r="E26" s="19">
        <f>表4[[#This Row],[数量]]*表4[[#This Row],[成本单价]]</f>
        <v>478.8</v>
      </c>
      <c r="F26" s="20">
        <v>45</v>
      </c>
    </row>
    <row r="27" spans="1:6">
      <c r="A27" s="18" t="s">
        <v>329</v>
      </c>
      <c r="B27" s="18" t="s">
        <v>330</v>
      </c>
      <c r="C27" s="18">
        <v>10</v>
      </c>
      <c r="D27" s="19">
        <v>11.9</v>
      </c>
      <c r="E27" s="19">
        <f>表4[[#This Row],[数量]]*表4[[#This Row],[成本单价]]</f>
        <v>119</v>
      </c>
      <c r="F27" s="20">
        <v>35</v>
      </c>
    </row>
    <row r="28" spans="1:6">
      <c r="A28" s="18" t="s">
        <v>329</v>
      </c>
      <c r="B28" s="18" t="s">
        <v>331</v>
      </c>
      <c r="C28" s="18">
        <v>10</v>
      </c>
      <c r="D28" s="19">
        <v>11.9</v>
      </c>
      <c r="E28" s="19">
        <f>表4[[#This Row],[数量]]*表4[[#This Row],[成本单价]]</f>
        <v>119</v>
      </c>
      <c r="F28" s="20">
        <v>50</v>
      </c>
    </row>
    <row r="29" spans="1:6">
      <c r="A29" s="18" t="s">
        <v>332</v>
      </c>
      <c r="B29" s="18" t="s">
        <v>333</v>
      </c>
      <c r="C29" s="18">
        <v>5</v>
      </c>
      <c r="D29" s="19">
        <v>13</v>
      </c>
      <c r="E29" s="19">
        <f>表4[[#This Row],[数量]]*表4[[#This Row],[成本单价]]</f>
        <v>65</v>
      </c>
      <c r="F29" s="20">
        <v>40</v>
      </c>
    </row>
    <row r="30" spans="1:6">
      <c r="A30" s="18" t="s">
        <v>332</v>
      </c>
      <c r="B30" s="18" t="s">
        <v>334</v>
      </c>
      <c r="C30" s="18">
        <v>5</v>
      </c>
      <c r="D30" s="19">
        <v>13</v>
      </c>
      <c r="E30" s="19">
        <f>表4[[#This Row],[数量]]*表4[[#This Row],[成本单价]]</f>
        <v>65</v>
      </c>
      <c r="F30" s="20">
        <v>40</v>
      </c>
    </row>
    <row r="31" spans="1:6">
      <c r="A31" s="18" t="s">
        <v>332</v>
      </c>
      <c r="B31" s="18" t="s">
        <v>335</v>
      </c>
      <c r="C31" s="18">
        <v>5</v>
      </c>
      <c r="D31" s="19">
        <v>13</v>
      </c>
      <c r="E31" s="19">
        <f>表4[[#This Row],[数量]]*表4[[#This Row],[成本单价]]</f>
        <v>65</v>
      </c>
      <c r="F31" s="20">
        <v>40</v>
      </c>
    </row>
    <row r="32" spans="1:6">
      <c r="A32" s="18" t="s">
        <v>332</v>
      </c>
      <c r="B32" s="18" t="s">
        <v>336</v>
      </c>
      <c r="C32" s="18">
        <v>5</v>
      </c>
      <c r="D32" s="19">
        <v>13</v>
      </c>
      <c r="E32" s="19">
        <f>表4[[#This Row],[数量]]*表4[[#This Row],[成本单价]]</f>
        <v>65</v>
      </c>
      <c r="F32" s="20">
        <v>40</v>
      </c>
    </row>
    <row r="33" spans="1:6">
      <c r="A33" s="18" t="s">
        <v>332</v>
      </c>
      <c r="B33" s="18" t="s">
        <v>337</v>
      </c>
      <c r="C33" s="18">
        <v>5</v>
      </c>
      <c r="D33" s="19">
        <v>13</v>
      </c>
      <c r="E33" s="19">
        <f>表4[[#This Row],[数量]]*表4[[#This Row],[成本单价]]</f>
        <v>65</v>
      </c>
      <c r="F33" s="20">
        <v>40</v>
      </c>
    </row>
    <row r="34" spans="1:6">
      <c r="A34" s="18" t="s">
        <v>332</v>
      </c>
      <c r="B34" s="18" t="s">
        <v>338</v>
      </c>
      <c r="C34" s="18">
        <v>5</v>
      </c>
      <c r="D34" s="19">
        <v>13</v>
      </c>
      <c r="E34" s="19">
        <f>表4[[#This Row],[数量]]*表4[[#This Row],[成本单价]]</f>
        <v>65</v>
      </c>
      <c r="F34" s="20">
        <v>40</v>
      </c>
    </row>
    <row r="35" spans="1:6">
      <c r="A35" s="18" t="s">
        <v>332</v>
      </c>
      <c r="B35" s="18" t="s">
        <v>339</v>
      </c>
      <c r="C35" s="18">
        <v>5</v>
      </c>
      <c r="D35" s="19">
        <v>13</v>
      </c>
      <c r="E35" s="19">
        <f>表4[[#This Row],[数量]]*表4[[#This Row],[成本单价]]</f>
        <v>65</v>
      </c>
      <c r="F35" s="20">
        <v>40</v>
      </c>
    </row>
    <row r="36" spans="1:6">
      <c r="A36" s="18" t="s">
        <v>332</v>
      </c>
      <c r="B36" s="18" t="s">
        <v>340</v>
      </c>
      <c r="C36" s="18">
        <v>5</v>
      </c>
      <c r="D36" s="19">
        <v>13</v>
      </c>
      <c r="E36" s="19">
        <f>表4[[#This Row],[数量]]*表4[[#This Row],[成本单价]]</f>
        <v>65</v>
      </c>
      <c r="F36" s="20">
        <v>40</v>
      </c>
    </row>
    <row r="37" spans="1:6">
      <c r="A37" s="18" t="s">
        <v>341</v>
      </c>
      <c r="B37" s="18" t="s">
        <v>342</v>
      </c>
      <c r="C37" s="18">
        <v>5</v>
      </c>
      <c r="D37" s="19">
        <v>14</v>
      </c>
      <c r="E37" s="19">
        <f>表4[[#This Row],[数量]]*表4[[#This Row],[成本单价]]</f>
        <v>70</v>
      </c>
      <c r="F37" s="20">
        <v>50</v>
      </c>
    </row>
    <row r="38" spans="1:6">
      <c r="A38" s="18" t="s">
        <v>341</v>
      </c>
      <c r="B38" s="18" t="s">
        <v>343</v>
      </c>
      <c r="C38" s="18">
        <v>5</v>
      </c>
      <c r="D38" s="19">
        <v>14</v>
      </c>
      <c r="E38" s="19">
        <f>表4[[#This Row],[数量]]*表4[[#This Row],[成本单价]]</f>
        <v>70</v>
      </c>
      <c r="F38" s="20">
        <v>50</v>
      </c>
    </row>
    <row r="39" spans="1:6">
      <c r="A39" s="18" t="s">
        <v>341</v>
      </c>
      <c r="B39" s="18" t="s">
        <v>344</v>
      </c>
      <c r="C39" s="18">
        <v>5</v>
      </c>
      <c r="D39" s="19">
        <v>14</v>
      </c>
      <c r="E39" s="19">
        <f>表4[[#This Row],[数量]]*表4[[#This Row],[成本单价]]</f>
        <v>70</v>
      </c>
      <c r="F39" s="20">
        <v>50</v>
      </c>
    </row>
    <row r="40" spans="1:6">
      <c r="A40" s="18" t="s">
        <v>341</v>
      </c>
      <c r="B40" s="18" t="s">
        <v>345</v>
      </c>
      <c r="C40" s="18">
        <v>5</v>
      </c>
      <c r="D40" s="19">
        <v>14</v>
      </c>
      <c r="E40" s="19">
        <f>表4[[#This Row],[数量]]*表4[[#This Row],[成本单价]]</f>
        <v>70</v>
      </c>
      <c r="F40" s="20">
        <v>50</v>
      </c>
    </row>
    <row r="41" spans="1:6">
      <c r="A41" s="18" t="s">
        <v>341</v>
      </c>
      <c r="B41" s="18" t="s">
        <v>346</v>
      </c>
      <c r="C41" s="18">
        <v>5</v>
      </c>
      <c r="D41" s="19">
        <v>14</v>
      </c>
      <c r="E41" s="19">
        <f>表4[[#This Row],[数量]]*表4[[#This Row],[成本单价]]</f>
        <v>70</v>
      </c>
      <c r="F41" s="20">
        <v>50</v>
      </c>
    </row>
    <row r="42" spans="1:6">
      <c r="A42" s="18" t="s">
        <v>341</v>
      </c>
      <c r="B42" s="18" t="s">
        <v>347</v>
      </c>
      <c r="C42" s="18">
        <v>5</v>
      </c>
      <c r="D42" s="19">
        <v>14</v>
      </c>
      <c r="E42" s="19">
        <f>表4[[#This Row],[数量]]*表4[[#This Row],[成本单价]]</f>
        <v>70</v>
      </c>
      <c r="F42" s="20">
        <v>50</v>
      </c>
    </row>
    <row r="43" spans="1:6">
      <c r="A43" s="18" t="s">
        <v>341</v>
      </c>
      <c r="B43" s="18" t="s">
        <v>348</v>
      </c>
      <c r="C43" s="18">
        <v>5</v>
      </c>
      <c r="D43" s="19">
        <v>14</v>
      </c>
      <c r="E43" s="19">
        <f>表4[[#This Row],[数量]]*表4[[#This Row],[成本单价]]</f>
        <v>70</v>
      </c>
      <c r="F43" s="20">
        <v>50</v>
      </c>
    </row>
    <row r="44" spans="1:6">
      <c r="A44" s="18" t="s">
        <v>341</v>
      </c>
      <c r="B44" s="18" t="s">
        <v>349</v>
      </c>
      <c r="C44" s="18">
        <v>5</v>
      </c>
      <c r="D44" s="19">
        <v>14</v>
      </c>
      <c r="E44" s="19">
        <f>表4[[#This Row],[数量]]*表4[[#This Row],[成本单价]]</f>
        <v>70</v>
      </c>
      <c r="F44" s="20">
        <v>50</v>
      </c>
    </row>
    <row r="45" spans="1:6">
      <c r="A45" s="18" t="s">
        <v>350</v>
      </c>
      <c r="B45" s="18" t="s">
        <v>351</v>
      </c>
      <c r="C45" s="18">
        <v>26</v>
      </c>
      <c r="D45" s="19">
        <v>14.19</v>
      </c>
      <c r="E45" s="19">
        <f>表4[[#This Row],[数量]]*表4[[#This Row],[成本单价]]</f>
        <v>368.94</v>
      </c>
      <c r="F45" s="20">
        <v>45</v>
      </c>
    </row>
    <row r="46" spans="1:6">
      <c r="A46" s="18" t="s">
        <v>352</v>
      </c>
      <c r="B46" s="18" t="s">
        <v>353</v>
      </c>
      <c r="C46" s="18">
        <v>26</v>
      </c>
      <c r="D46" s="19">
        <v>14.19</v>
      </c>
      <c r="E46" s="19">
        <f>表4[[#This Row],[数量]]*表4[[#This Row],[成本单价]]</f>
        <v>368.94</v>
      </c>
      <c r="F46" s="20">
        <v>40</v>
      </c>
    </row>
    <row r="47" spans="1:6">
      <c r="A47" s="18" t="s">
        <v>354</v>
      </c>
      <c r="B47" s="18" t="s">
        <v>355</v>
      </c>
      <c r="C47" s="18">
        <v>5</v>
      </c>
      <c r="D47" s="19">
        <v>16</v>
      </c>
      <c r="E47" s="19">
        <f>表4[[#This Row],[数量]]*表4[[#This Row],[成本单价]]</f>
        <v>80</v>
      </c>
      <c r="F47" s="20">
        <v>45</v>
      </c>
    </row>
    <row r="48" spans="1:6">
      <c r="A48" s="18" t="s">
        <v>354</v>
      </c>
      <c r="B48" s="18" t="s">
        <v>356</v>
      </c>
      <c r="C48" s="18">
        <v>5</v>
      </c>
      <c r="D48" s="19">
        <v>16</v>
      </c>
      <c r="E48" s="19">
        <f>表4[[#This Row],[数量]]*表4[[#This Row],[成本单价]]</f>
        <v>80</v>
      </c>
      <c r="F48" s="20">
        <v>45</v>
      </c>
    </row>
    <row r="49" spans="1:6">
      <c r="A49" s="18" t="s">
        <v>354</v>
      </c>
      <c r="B49" s="18" t="s">
        <v>357</v>
      </c>
      <c r="C49" s="18">
        <v>5</v>
      </c>
      <c r="D49" s="19">
        <v>16</v>
      </c>
      <c r="E49" s="19">
        <f>表4[[#This Row],[数量]]*表4[[#This Row],[成本单价]]</f>
        <v>80</v>
      </c>
      <c r="F49" s="20">
        <v>45</v>
      </c>
    </row>
    <row r="50" spans="1:6">
      <c r="A50" s="18" t="s">
        <v>354</v>
      </c>
      <c r="B50" s="18" t="s">
        <v>358</v>
      </c>
      <c r="C50" s="18">
        <v>5</v>
      </c>
      <c r="D50" s="19">
        <v>16</v>
      </c>
      <c r="E50" s="19">
        <f>表4[[#This Row],[数量]]*表4[[#This Row],[成本单价]]</f>
        <v>80</v>
      </c>
      <c r="F50" s="20">
        <v>45</v>
      </c>
    </row>
    <row r="51" spans="1:6">
      <c r="A51" s="18" t="s">
        <v>354</v>
      </c>
      <c r="B51" s="18" t="s">
        <v>359</v>
      </c>
      <c r="C51" s="18">
        <v>5</v>
      </c>
      <c r="D51" s="19">
        <v>16</v>
      </c>
      <c r="E51" s="19">
        <f>表4[[#This Row],[数量]]*表4[[#This Row],[成本单价]]</f>
        <v>80</v>
      </c>
      <c r="F51" s="20">
        <v>45</v>
      </c>
    </row>
    <row r="52" spans="1:6">
      <c r="A52" s="18" t="s">
        <v>354</v>
      </c>
      <c r="B52" s="18" t="s">
        <v>360</v>
      </c>
      <c r="C52" s="18">
        <v>5</v>
      </c>
      <c r="D52" s="19">
        <v>16</v>
      </c>
      <c r="E52" s="19">
        <f>表4[[#This Row],[数量]]*表4[[#This Row],[成本单价]]</f>
        <v>80</v>
      </c>
      <c r="F52" s="20">
        <v>45</v>
      </c>
    </row>
    <row r="53" spans="1:6">
      <c r="A53" s="18" t="s">
        <v>354</v>
      </c>
      <c r="B53" s="18" t="s">
        <v>361</v>
      </c>
      <c r="C53" s="18">
        <v>5</v>
      </c>
      <c r="D53" s="19">
        <v>16</v>
      </c>
      <c r="E53" s="19">
        <f>表4[[#This Row],[数量]]*表4[[#This Row],[成本单价]]</f>
        <v>80</v>
      </c>
      <c r="F53" s="20">
        <v>45</v>
      </c>
    </row>
    <row r="54" spans="1:6">
      <c r="A54" s="18" t="s">
        <v>354</v>
      </c>
      <c r="B54" s="18" t="s">
        <v>362</v>
      </c>
      <c r="C54" s="18">
        <v>5</v>
      </c>
      <c r="D54" s="19">
        <v>16</v>
      </c>
      <c r="E54" s="19">
        <f>表4[[#This Row],[数量]]*表4[[#This Row],[成本单价]]</f>
        <v>80</v>
      </c>
      <c r="F54" s="20">
        <v>45</v>
      </c>
    </row>
    <row r="55" spans="1:6">
      <c r="A55" s="18" t="s">
        <v>363</v>
      </c>
      <c r="B55" s="18" t="s">
        <v>364</v>
      </c>
      <c r="C55" s="18">
        <v>10</v>
      </c>
      <c r="D55" s="19">
        <v>17.8</v>
      </c>
      <c r="E55" s="19">
        <f>表4[[#This Row],[数量]]*表4[[#This Row],[成本单价]]</f>
        <v>178</v>
      </c>
      <c r="F55" s="20">
        <v>65</v>
      </c>
    </row>
    <row r="56" spans="1:6">
      <c r="A56" s="18" t="s">
        <v>323</v>
      </c>
      <c r="B56" s="18" t="s">
        <v>365</v>
      </c>
      <c r="C56" s="18">
        <v>3</v>
      </c>
      <c r="D56" s="19">
        <v>20</v>
      </c>
      <c r="E56" s="19">
        <f>表4[[#This Row],[数量]]*表4[[#This Row],[成本单价]]</f>
        <v>60</v>
      </c>
      <c r="F56" s="20">
        <v>45</v>
      </c>
    </row>
    <row r="57" spans="1:6">
      <c r="A57" s="18" t="s">
        <v>366</v>
      </c>
      <c r="B57" s="18" t="s">
        <v>367</v>
      </c>
      <c r="C57" s="18">
        <v>20</v>
      </c>
      <c r="D57" s="19">
        <v>24.9</v>
      </c>
      <c r="E57" s="19">
        <f>表4[[#This Row],[数量]]*表4[[#This Row],[成本单价]]</f>
        <v>498</v>
      </c>
      <c r="F57" s="20">
        <v>45</v>
      </c>
    </row>
    <row r="58" spans="1:6">
      <c r="A58" s="18" t="s">
        <v>363</v>
      </c>
      <c r="B58" s="18" t="s">
        <v>368</v>
      </c>
      <c r="C58" s="18">
        <v>10</v>
      </c>
      <c r="D58" s="19">
        <v>25.9</v>
      </c>
      <c r="E58" s="19">
        <f>表4[[#This Row],[数量]]*表4[[#This Row],[成本单价]]</f>
        <v>259</v>
      </c>
      <c r="F58" s="20">
        <v>60</v>
      </c>
    </row>
    <row r="59" spans="1:6">
      <c r="A59" s="18" t="s">
        <v>363</v>
      </c>
      <c r="B59" s="18" t="s">
        <v>369</v>
      </c>
      <c r="C59" s="18">
        <v>10</v>
      </c>
      <c r="D59" s="19">
        <v>29.9</v>
      </c>
      <c r="E59" s="19">
        <f>表4[[#This Row],[数量]]*表4[[#This Row],[成本单价]]</f>
        <v>299</v>
      </c>
      <c r="F59" s="20">
        <v>60</v>
      </c>
    </row>
    <row r="60" spans="1:6">
      <c r="A60" s="18" t="s">
        <v>366</v>
      </c>
      <c r="B60" s="18" t="s">
        <v>370</v>
      </c>
      <c r="C60" s="18">
        <v>10</v>
      </c>
      <c r="D60" s="19">
        <v>29.9</v>
      </c>
      <c r="E60" s="19">
        <f>表4[[#This Row],[数量]]*表4[[#This Row],[成本单价]]</f>
        <v>299</v>
      </c>
      <c r="F60" s="20">
        <v>40</v>
      </c>
    </row>
    <row r="61" spans="1:6">
      <c r="A61" s="18" t="s">
        <v>363</v>
      </c>
      <c r="B61" s="18" t="s">
        <v>371</v>
      </c>
      <c r="C61" s="18">
        <v>10</v>
      </c>
      <c r="D61" s="19">
        <v>32.9</v>
      </c>
      <c r="E61" s="19">
        <f>表4[[#This Row],[数量]]*表4[[#This Row],[成本单价]]</f>
        <v>329</v>
      </c>
      <c r="F61" s="20">
        <v>70</v>
      </c>
    </row>
    <row r="62" spans="1:6">
      <c r="A62" s="26" t="s">
        <v>45</v>
      </c>
      <c r="B62" s="26"/>
      <c r="C62" s="26"/>
      <c r="D62" s="26"/>
      <c r="E62" s="27">
        <f>SUBTOTAL(109,表4[成本总价])</f>
        <v>10501.48</v>
      </c>
      <c r="F62" s="28">
        <f>SUBTOTAL(109,表4[售价])</f>
        <v>2520</v>
      </c>
    </row>
    <row r="63" spans="1:6">
      <c r="A63" s="81" t="s">
        <v>46</v>
      </c>
      <c r="B63" s="81"/>
      <c r="C63" s="82">
        <f ca="1">TODAY()</f>
        <v>46171</v>
      </c>
      <c r="D63" s="82"/>
      <c r="E63" s="82"/>
      <c r="F63" s="82"/>
    </row>
    <row r="64" spans="1:6">
      <c r="A64" s="81"/>
      <c r="B64" s="81"/>
      <c r="C64" s="82"/>
      <c r="D64" s="82"/>
      <c r="E64" s="82"/>
      <c r="F64" s="82"/>
    </row>
    <row r="65" spans="1:6">
      <c r="A65" s="81"/>
      <c r="B65" s="81"/>
      <c r="C65" s="82"/>
      <c r="D65" s="82"/>
      <c r="E65" s="82"/>
      <c r="F65" s="82"/>
    </row>
    <row r="66" spans="1:6">
      <c r="A66" s="10"/>
      <c r="B66" s="10"/>
    </row>
  </sheetData>
  <mergeCells count="2">
    <mergeCell ref="A63:B65"/>
    <mergeCell ref="C63:F65"/>
  </mergeCells>
  <phoneticPr fontId="2" type="noConversion"/>
  <pageMargins left="0.75" right="0.75" top="1" bottom="1" header="0.51180555555555596" footer="0.51180555555555596"/>
  <pageSetup paperSize="9" orientation="portrait" r:id="rId1"/>
  <headerFooter scaleWithDoc="0"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BAC4-92FF-40EC-BAA9-304D9F955F45}">
  <sheetPr codeName="Sheet5"/>
  <dimension ref="A1:M33"/>
  <sheetViews>
    <sheetView workbookViewId="0">
      <selection activeCell="C54" sqref="C54"/>
    </sheetView>
  </sheetViews>
  <sheetFormatPr defaultColWidth="9" defaultRowHeight="14.25"/>
  <cols>
    <col min="1" max="1" width="20.125" style="1" customWidth="1"/>
    <col min="2" max="2" width="20.125" style="9" customWidth="1"/>
    <col min="3" max="3" width="20" style="1" customWidth="1"/>
    <col min="4" max="6" width="9" style="1"/>
    <col min="7" max="11" width="17" style="1" customWidth="1"/>
    <col min="12" max="12" width="15" style="1" bestFit="1" customWidth="1"/>
    <col min="13" max="13" width="17" style="1" customWidth="1"/>
    <col min="14" max="16384" width="9" style="1"/>
  </cols>
  <sheetData>
    <row r="1" spans="1:13">
      <c r="A1" s="21" t="s">
        <v>372</v>
      </c>
      <c r="B1" s="22" t="s">
        <v>48</v>
      </c>
    </row>
    <row r="2" spans="1:13">
      <c r="A2" s="67" t="s">
        <v>373</v>
      </c>
      <c r="B2" s="50">
        <v>52000</v>
      </c>
    </row>
    <row r="3" spans="1:13">
      <c r="A3" s="67" t="s">
        <v>374</v>
      </c>
      <c r="B3" s="50">
        <v>600</v>
      </c>
      <c r="F3" s="29"/>
      <c r="G3" s="30"/>
      <c r="H3" s="31"/>
      <c r="I3" s="30"/>
      <c r="J3" s="31"/>
      <c r="K3" s="30"/>
      <c r="L3" s="30"/>
      <c r="M3" s="30"/>
    </row>
    <row r="4" spans="1:13">
      <c r="A4" s="67" t="s">
        <v>375</v>
      </c>
      <c r="B4" s="50">
        <v>1700</v>
      </c>
      <c r="F4" s="32"/>
      <c r="G4" s="30"/>
      <c r="H4" s="31"/>
      <c r="I4" s="30"/>
      <c r="J4" s="31"/>
      <c r="K4" s="30"/>
      <c r="L4" s="30"/>
      <c r="M4" s="30"/>
    </row>
    <row r="5" spans="1:13">
      <c r="A5" s="67" t="s">
        <v>376</v>
      </c>
      <c r="B5" s="50">
        <v>8516</v>
      </c>
      <c r="F5" s="32"/>
    </row>
    <row r="6" spans="1:13">
      <c r="A6" s="67" t="s">
        <v>377</v>
      </c>
      <c r="B6" s="50">
        <v>5800</v>
      </c>
      <c r="F6" s="32"/>
    </row>
    <row r="7" spans="1:13">
      <c r="A7" s="67" t="s">
        <v>378</v>
      </c>
      <c r="B7" s="50">
        <v>1220</v>
      </c>
      <c r="F7" s="32"/>
    </row>
    <row r="8" spans="1:13">
      <c r="A8" s="67" t="s">
        <v>379</v>
      </c>
      <c r="B8" s="50">
        <v>1590</v>
      </c>
      <c r="F8" s="32"/>
    </row>
    <row r="9" spans="1:13">
      <c r="A9" s="67" t="s">
        <v>380</v>
      </c>
      <c r="B9" s="50">
        <v>318</v>
      </c>
      <c r="F9" s="32"/>
    </row>
    <row r="10" spans="1:13">
      <c r="A10" s="67" t="s">
        <v>381</v>
      </c>
      <c r="B10" s="50">
        <v>3000</v>
      </c>
      <c r="F10" s="32"/>
    </row>
    <row r="11" spans="1:13">
      <c r="A11" s="67" t="s">
        <v>382</v>
      </c>
      <c r="B11" s="50">
        <v>200</v>
      </c>
      <c r="F11" s="32"/>
    </row>
    <row r="12" spans="1:13">
      <c r="A12" s="67" t="s">
        <v>383</v>
      </c>
      <c r="B12" s="50">
        <v>85</v>
      </c>
      <c r="F12" s="32"/>
    </row>
    <row r="13" spans="1:13">
      <c r="A13" s="67" t="s">
        <v>384</v>
      </c>
      <c r="B13" s="50">
        <v>75</v>
      </c>
      <c r="F13" s="32"/>
    </row>
    <row r="14" spans="1:13">
      <c r="A14" s="67" t="s">
        <v>385</v>
      </c>
      <c r="B14" s="50">
        <v>1018</v>
      </c>
      <c r="F14" s="32"/>
    </row>
    <row r="15" spans="1:13">
      <c r="A15" s="67" t="s">
        <v>386</v>
      </c>
      <c r="B15" s="50">
        <v>200</v>
      </c>
      <c r="F15" s="32"/>
    </row>
    <row r="16" spans="1:13">
      <c r="A16" s="67" t="s">
        <v>387</v>
      </c>
      <c r="B16" s="50">
        <v>150</v>
      </c>
      <c r="F16" s="32"/>
    </row>
    <row r="17" spans="1:6">
      <c r="A17" s="67" t="s">
        <v>388</v>
      </c>
      <c r="B17" s="50">
        <v>140</v>
      </c>
      <c r="F17" s="32"/>
    </row>
    <row r="18" spans="1:6">
      <c r="A18" s="67" t="s">
        <v>389</v>
      </c>
      <c r="B18" s="50">
        <v>30</v>
      </c>
      <c r="F18" s="32"/>
    </row>
    <row r="19" spans="1:6">
      <c r="A19" s="67" t="s">
        <v>390</v>
      </c>
      <c r="B19" s="50">
        <v>164.58</v>
      </c>
      <c r="F19" s="32"/>
    </row>
    <row r="20" spans="1:6">
      <c r="A20" s="67" t="s">
        <v>391</v>
      </c>
      <c r="B20" s="50">
        <v>19.89</v>
      </c>
      <c r="F20" s="32"/>
    </row>
    <row r="21" spans="1:6">
      <c r="A21" s="67" t="s">
        <v>392</v>
      </c>
      <c r="B21" s="50">
        <v>49.9</v>
      </c>
      <c r="F21" s="32"/>
    </row>
    <row r="22" spans="1:6">
      <c r="A22" s="67" t="s">
        <v>393</v>
      </c>
      <c r="B22" s="50">
        <v>138.69999999999999</v>
      </c>
      <c r="F22" s="32"/>
    </row>
    <row r="23" spans="1:6">
      <c r="A23" s="67" t="s">
        <v>394</v>
      </c>
      <c r="B23" s="50">
        <v>119</v>
      </c>
      <c r="F23" s="32"/>
    </row>
    <row r="24" spans="1:6">
      <c r="A24" s="67" t="s">
        <v>395</v>
      </c>
      <c r="B24" s="50">
        <v>53.79</v>
      </c>
      <c r="F24" s="32"/>
    </row>
    <row r="25" spans="1:6">
      <c r="A25" s="15" t="s">
        <v>385</v>
      </c>
      <c r="B25" s="35">
        <v>1888</v>
      </c>
      <c r="F25" s="32"/>
    </row>
    <row r="26" spans="1:6">
      <c r="A26" s="21" t="s">
        <v>45</v>
      </c>
      <c r="B26" s="22">
        <f>SUBTOTAL(109,表6[金额])</f>
        <v>79075.859999999986</v>
      </c>
      <c r="F26" s="32"/>
    </row>
    <row r="27" spans="1:6">
      <c r="A27" s="67" t="s">
        <v>396</v>
      </c>
      <c r="B27" s="50">
        <f>表6[[#Totals],[金额]]/2</f>
        <v>39537.929999999993</v>
      </c>
      <c r="F27" s="32"/>
    </row>
    <row r="28" spans="1:6">
      <c r="B28" s="1"/>
      <c r="F28" s="32"/>
    </row>
    <row r="29" spans="1:6">
      <c r="A29" s="81" t="s">
        <v>46</v>
      </c>
      <c r="B29" s="82">
        <f ca="1">TODAY()</f>
        <v>46171</v>
      </c>
      <c r="C29" s="11"/>
      <c r="D29" s="11"/>
      <c r="E29" s="11"/>
      <c r="F29" s="32"/>
    </row>
    <row r="30" spans="1:6">
      <c r="A30" s="81"/>
      <c r="B30" s="82"/>
      <c r="C30" s="11"/>
      <c r="D30" s="11"/>
      <c r="E30" s="11"/>
      <c r="F30" s="32"/>
    </row>
    <row r="31" spans="1:6">
      <c r="A31" s="81"/>
      <c r="B31" s="82"/>
      <c r="C31" s="11"/>
      <c r="D31" s="11"/>
      <c r="E31" s="11"/>
      <c r="F31" s="32"/>
    </row>
    <row r="33" spans="1:3">
      <c r="A33" s="67" t="s">
        <v>397</v>
      </c>
      <c r="B33" s="50">
        <v>5000</v>
      </c>
      <c r="C33" s="41">
        <v>46065</v>
      </c>
    </row>
  </sheetData>
  <mergeCells count="2">
    <mergeCell ref="A29:A31"/>
    <mergeCell ref="B29:B3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19E2-D82A-4D7C-8837-D9B72201E657}">
  <sheetPr codeName="Sheet6"/>
  <dimension ref="A1:G27"/>
  <sheetViews>
    <sheetView workbookViewId="0">
      <selection activeCell="C49" sqref="C49"/>
    </sheetView>
  </sheetViews>
  <sheetFormatPr defaultColWidth="8.875" defaultRowHeight="14.25"/>
  <cols>
    <col min="1" max="8" width="16.125" customWidth="1"/>
  </cols>
  <sheetData>
    <row r="1" spans="1:7">
      <c r="A1" s="72" t="s">
        <v>398</v>
      </c>
      <c r="B1" s="71" t="s">
        <v>399</v>
      </c>
      <c r="C1" s="72" t="s">
        <v>400</v>
      </c>
      <c r="D1" s="71" t="s">
        <v>401</v>
      </c>
      <c r="E1" s="72" t="s">
        <v>402</v>
      </c>
      <c r="F1" s="72" t="s">
        <v>403</v>
      </c>
      <c r="G1" s="72" t="s">
        <v>404</v>
      </c>
    </row>
    <row r="2" spans="1:7">
      <c r="A2" s="72" t="s">
        <v>405</v>
      </c>
      <c r="B2" s="92">
        <v>200000</v>
      </c>
      <c r="C2" s="93"/>
      <c r="D2" s="94"/>
      <c r="E2" s="85">
        <f>SUM(D2:D8)</f>
        <v>792000</v>
      </c>
      <c r="F2" s="85">
        <f>E2/C3</f>
        <v>66000</v>
      </c>
      <c r="G2" s="87">
        <f>F2/30</f>
        <v>2200</v>
      </c>
    </row>
    <row r="3" spans="1:7">
      <c r="A3" s="72" t="s">
        <v>406</v>
      </c>
      <c r="B3" s="71">
        <v>36000</v>
      </c>
      <c r="C3" s="89">
        <v>12</v>
      </c>
      <c r="D3" s="71">
        <f>C3*B3</f>
        <v>432000</v>
      </c>
      <c r="E3" s="86"/>
      <c r="F3" s="86"/>
      <c r="G3" s="88"/>
    </row>
    <row r="4" spans="1:7">
      <c r="A4" s="86" t="s">
        <v>407</v>
      </c>
      <c r="B4" s="71">
        <v>4000</v>
      </c>
      <c r="C4" s="90"/>
      <c r="D4" s="71">
        <f>B4*C3</f>
        <v>48000</v>
      </c>
      <c r="E4" s="86"/>
      <c r="F4" s="86"/>
      <c r="G4" s="88"/>
    </row>
    <row r="5" spans="1:7">
      <c r="A5" s="86"/>
      <c r="B5" s="71">
        <v>5000</v>
      </c>
      <c r="C5" s="90"/>
      <c r="D5" s="71">
        <f>B5*C3</f>
        <v>60000</v>
      </c>
      <c r="E5" s="86"/>
      <c r="F5" s="86"/>
      <c r="G5" s="88"/>
    </row>
    <row r="6" spans="1:7">
      <c r="A6" s="86"/>
      <c r="B6" s="71">
        <v>10000</v>
      </c>
      <c r="C6" s="90"/>
      <c r="D6" s="71">
        <f>B6*C3</f>
        <v>120000</v>
      </c>
      <c r="E6" s="86"/>
      <c r="F6" s="86"/>
      <c r="G6" s="88"/>
    </row>
    <row r="7" spans="1:7">
      <c r="A7" s="86"/>
      <c r="B7" s="71">
        <v>10000</v>
      </c>
      <c r="C7" s="90"/>
      <c r="D7" s="71">
        <f>B7*C3</f>
        <v>120000</v>
      </c>
      <c r="E7" s="86"/>
      <c r="F7" s="86"/>
      <c r="G7" s="88"/>
    </row>
    <row r="8" spans="1:7">
      <c r="A8" s="72" t="s">
        <v>408</v>
      </c>
      <c r="B8" s="71">
        <v>1000</v>
      </c>
      <c r="C8" s="91"/>
      <c r="D8" s="71">
        <f>B8*C3</f>
        <v>12000</v>
      </c>
      <c r="E8" s="86"/>
      <c r="F8" s="86"/>
      <c r="G8" s="88"/>
    </row>
    <row r="9" spans="1:7">
      <c r="A9" s="30"/>
      <c r="B9" s="31"/>
      <c r="C9" s="30"/>
      <c r="D9" s="31"/>
      <c r="E9" s="30"/>
      <c r="F9" s="30"/>
      <c r="G9" s="30"/>
    </row>
    <row r="10" spans="1:7">
      <c r="A10" s="72" t="s">
        <v>409</v>
      </c>
      <c r="B10" s="71" t="s">
        <v>399</v>
      </c>
      <c r="C10" s="72" t="s">
        <v>400</v>
      </c>
      <c r="D10" s="71" t="s">
        <v>401</v>
      </c>
      <c r="E10" s="72" t="s">
        <v>402</v>
      </c>
      <c r="F10" s="72" t="s">
        <v>403</v>
      </c>
      <c r="G10" s="72" t="s">
        <v>404</v>
      </c>
    </row>
    <row r="11" spans="1:7">
      <c r="A11" s="72" t="s">
        <v>405</v>
      </c>
      <c r="B11" s="92">
        <v>0</v>
      </c>
      <c r="C11" s="93"/>
      <c r="D11" s="94"/>
      <c r="E11" s="85">
        <f>SUM(D11:D17)</f>
        <v>414000</v>
      </c>
      <c r="F11" s="85">
        <f>E11/C12</f>
        <v>34500</v>
      </c>
      <c r="G11" s="87">
        <f>F11/30</f>
        <v>1150</v>
      </c>
    </row>
    <row r="12" spans="1:7">
      <c r="A12" s="72" t="s">
        <v>406</v>
      </c>
      <c r="B12" s="71">
        <v>9500</v>
      </c>
      <c r="C12" s="89">
        <v>12</v>
      </c>
      <c r="D12" s="71">
        <f>C12*B12</f>
        <v>114000</v>
      </c>
      <c r="E12" s="86"/>
      <c r="F12" s="86"/>
      <c r="G12" s="88"/>
    </row>
    <row r="13" spans="1:7">
      <c r="A13" s="86" t="s">
        <v>407</v>
      </c>
      <c r="B13" s="71">
        <v>4000</v>
      </c>
      <c r="C13" s="90"/>
      <c r="D13" s="71">
        <f>B13*C12</f>
        <v>48000</v>
      </c>
      <c r="E13" s="86"/>
      <c r="F13" s="86"/>
      <c r="G13" s="88"/>
    </row>
    <row r="14" spans="1:7">
      <c r="A14" s="86"/>
      <c r="B14" s="71">
        <v>10000</v>
      </c>
      <c r="C14" s="90"/>
      <c r="D14" s="71">
        <f>B14*C12</f>
        <v>120000</v>
      </c>
      <c r="E14" s="86"/>
      <c r="F14" s="86"/>
      <c r="G14" s="88"/>
    </row>
    <row r="15" spans="1:7">
      <c r="A15" s="86"/>
      <c r="B15" s="71">
        <v>10000</v>
      </c>
      <c r="C15" s="90"/>
      <c r="D15" s="71">
        <f>B15*C12</f>
        <v>120000</v>
      </c>
      <c r="E15" s="86"/>
      <c r="F15" s="86"/>
      <c r="G15" s="88"/>
    </row>
    <row r="16" spans="1:7">
      <c r="A16" s="86"/>
      <c r="B16" s="71">
        <v>0</v>
      </c>
      <c r="C16" s="90"/>
      <c r="D16" s="71">
        <f>B16*C12</f>
        <v>0</v>
      </c>
      <c r="E16" s="86"/>
      <c r="F16" s="86"/>
      <c r="G16" s="88"/>
    </row>
    <row r="17" spans="1:7">
      <c r="A17" s="72" t="s">
        <v>408</v>
      </c>
      <c r="B17" s="71">
        <v>1000</v>
      </c>
      <c r="C17" s="91"/>
      <c r="D17" s="71">
        <f>B17*C12</f>
        <v>12000</v>
      </c>
      <c r="E17" s="86"/>
      <c r="F17" s="86"/>
      <c r="G17" s="88"/>
    </row>
    <row r="18" spans="1:7">
      <c r="A18" s="32"/>
      <c r="B18" s="33"/>
      <c r="C18" s="32"/>
      <c r="D18" s="33"/>
      <c r="E18" s="32"/>
      <c r="F18" s="32"/>
      <c r="G18" s="32"/>
    </row>
    <row r="19" spans="1:7">
      <c r="A19" s="72" t="s">
        <v>410</v>
      </c>
      <c r="B19" s="71" t="s">
        <v>399</v>
      </c>
      <c r="C19" s="72" t="s">
        <v>400</v>
      </c>
      <c r="D19" s="71" t="s">
        <v>401</v>
      </c>
      <c r="E19" s="72" t="s">
        <v>402</v>
      </c>
      <c r="F19" s="72" t="s">
        <v>403</v>
      </c>
      <c r="G19" s="72" t="s">
        <v>404</v>
      </c>
    </row>
    <row r="20" spans="1:7">
      <c r="A20" s="72" t="s">
        <v>405</v>
      </c>
      <c r="B20" s="92">
        <v>0</v>
      </c>
      <c r="C20" s="93"/>
      <c r="D20" s="94"/>
      <c r="E20" s="85">
        <f>SUM(D20:D27)</f>
        <v>168000</v>
      </c>
      <c r="F20" s="85">
        <f>E20/C22</f>
        <v>14000</v>
      </c>
      <c r="G20" s="87">
        <f>F20/30</f>
        <v>466.66666666666669</v>
      </c>
    </row>
    <row r="21" spans="1:7">
      <c r="A21" s="72"/>
      <c r="B21" s="73"/>
      <c r="C21" s="34"/>
      <c r="D21" s="74"/>
      <c r="E21" s="85"/>
      <c r="F21" s="85"/>
      <c r="G21" s="87"/>
    </row>
    <row r="22" spans="1:7">
      <c r="A22" s="72" t="s">
        <v>406</v>
      </c>
      <c r="B22" s="71">
        <v>4000</v>
      </c>
      <c r="C22" s="89">
        <v>12</v>
      </c>
      <c r="D22" s="71">
        <f>C22*B22</f>
        <v>48000</v>
      </c>
      <c r="E22" s="86"/>
      <c r="F22" s="86"/>
      <c r="G22" s="88"/>
    </row>
    <row r="23" spans="1:7">
      <c r="A23" s="86" t="s">
        <v>407</v>
      </c>
      <c r="B23" s="71">
        <v>5000</v>
      </c>
      <c r="C23" s="90"/>
      <c r="D23" s="71">
        <f>B23*C22</f>
        <v>60000</v>
      </c>
      <c r="E23" s="86"/>
      <c r="F23" s="86"/>
      <c r="G23" s="88"/>
    </row>
    <row r="24" spans="1:7">
      <c r="A24" s="86"/>
      <c r="B24" s="71">
        <v>5000</v>
      </c>
      <c r="C24" s="90"/>
      <c r="D24" s="71">
        <f>B24*C22</f>
        <v>60000</v>
      </c>
      <c r="E24" s="86"/>
      <c r="F24" s="86"/>
      <c r="G24" s="88"/>
    </row>
    <row r="25" spans="1:7">
      <c r="A25" s="86"/>
      <c r="B25" s="71">
        <v>0</v>
      </c>
      <c r="C25" s="90"/>
      <c r="D25" s="71">
        <f>B25*C22</f>
        <v>0</v>
      </c>
      <c r="E25" s="86"/>
      <c r="F25" s="86"/>
      <c r="G25" s="88"/>
    </row>
    <row r="26" spans="1:7">
      <c r="A26" s="86"/>
      <c r="B26" s="71">
        <v>0</v>
      </c>
      <c r="C26" s="90"/>
      <c r="D26" s="71">
        <f>B26*C22</f>
        <v>0</v>
      </c>
      <c r="E26" s="86"/>
      <c r="F26" s="86"/>
      <c r="G26" s="88"/>
    </row>
    <row r="27" spans="1:7">
      <c r="A27" s="72" t="s">
        <v>408</v>
      </c>
      <c r="B27" s="71">
        <v>0</v>
      </c>
      <c r="C27" s="91"/>
      <c r="D27" s="71">
        <f>B27*C22</f>
        <v>0</v>
      </c>
      <c r="E27" s="86"/>
      <c r="F27" s="86"/>
      <c r="G27" s="88"/>
    </row>
  </sheetData>
  <mergeCells count="18">
    <mergeCell ref="G2:G8"/>
    <mergeCell ref="E11:E17"/>
    <mergeCell ref="F11:F17"/>
    <mergeCell ref="G11:G17"/>
    <mergeCell ref="A13:A16"/>
    <mergeCell ref="E2:E8"/>
    <mergeCell ref="A4:A7"/>
    <mergeCell ref="F2:F8"/>
    <mergeCell ref="C3:C8"/>
    <mergeCell ref="C12:C17"/>
    <mergeCell ref="B2:D2"/>
    <mergeCell ref="B11:D11"/>
    <mergeCell ref="F20:F27"/>
    <mergeCell ref="G20:G27"/>
    <mergeCell ref="A23:A26"/>
    <mergeCell ref="C22:C27"/>
    <mergeCell ref="B20:D20"/>
    <mergeCell ref="E20:E27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39FA-7673-4397-B552-B26F1DBA2875}">
  <sheetPr codeName="Sheet7"/>
  <dimension ref="A1:L97"/>
  <sheetViews>
    <sheetView topLeftCell="A41" workbookViewId="0">
      <selection activeCell="G79" sqref="G79"/>
    </sheetView>
  </sheetViews>
  <sheetFormatPr defaultColWidth="8.875" defaultRowHeight="14.25"/>
  <cols>
    <col min="1" max="1" width="25.625" customWidth="1"/>
    <col min="2" max="2" width="15.625" customWidth="1"/>
    <col min="3" max="5" width="12.625" customWidth="1"/>
    <col min="6" max="9" width="12.625" style="43" customWidth="1"/>
    <col min="10" max="10" width="80.625" customWidth="1"/>
    <col min="11" max="11" width="12.625" customWidth="1"/>
  </cols>
  <sheetData>
    <row r="1" spans="1:11" ht="22.5" customHeight="1">
      <c r="A1" s="56" t="s">
        <v>227</v>
      </c>
      <c r="B1" s="57" t="s">
        <v>228</v>
      </c>
      <c r="C1" s="56" t="s">
        <v>229</v>
      </c>
      <c r="D1" s="56" t="s">
        <v>230</v>
      </c>
      <c r="E1" s="58" t="s">
        <v>231</v>
      </c>
      <c r="F1" s="59" t="s">
        <v>232</v>
      </c>
      <c r="G1" s="59" t="s">
        <v>233</v>
      </c>
      <c r="H1" s="59" t="s">
        <v>234</v>
      </c>
      <c r="I1" s="59" t="s">
        <v>236</v>
      </c>
      <c r="J1" s="59" t="s">
        <v>237</v>
      </c>
      <c r="K1" s="60" t="s">
        <v>238</v>
      </c>
    </row>
    <row r="2" spans="1:11" ht="22.5" customHeight="1">
      <c r="A2" s="55" t="s">
        <v>411</v>
      </c>
      <c r="B2" s="55" t="s">
        <v>412</v>
      </c>
      <c r="C2" s="55" t="s">
        <v>413</v>
      </c>
      <c r="D2" s="55" t="s">
        <v>414</v>
      </c>
      <c r="E2" s="55">
        <v>35552</v>
      </c>
      <c r="F2" s="55"/>
      <c r="G2" s="55">
        <v>35552</v>
      </c>
      <c r="H2" s="55"/>
      <c r="I2" s="55"/>
      <c r="J2" s="55" t="s">
        <v>415</v>
      </c>
      <c r="K2" s="55"/>
    </row>
    <row r="3" spans="1:11" ht="22.5" customHeight="1">
      <c r="A3" s="47" t="s">
        <v>416</v>
      </c>
      <c r="B3" s="48">
        <v>0.99</v>
      </c>
      <c r="C3" s="47" t="s">
        <v>417</v>
      </c>
      <c r="D3" s="47" t="s">
        <v>418</v>
      </c>
      <c r="E3" s="47">
        <v>50792</v>
      </c>
      <c r="F3" s="47">
        <v>2850</v>
      </c>
      <c r="G3" s="47">
        <v>3499</v>
      </c>
      <c r="H3" s="47"/>
      <c r="I3" s="47"/>
      <c r="J3" s="47" t="s">
        <v>419</v>
      </c>
      <c r="K3" s="47"/>
    </row>
    <row r="4" spans="1:11" ht="22.5" customHeight="1">
      <c r="A4" s="47" t="s">
        <v>420</v>
      </c>
      <c r="B4" s="48">
        <v>0.92</v>
      </c>
      <c r="C4" s="47" t="s">
        <v>421</v>
      </c>
      <c r="D4" s="47" t="s">
        <v>414</v>
      </c>
      <c r="E4" s="47">
        <v>25149</v>
      </c>
      <c r="F4" s="47">
        <v>5800</v>
      </c>
      <c r="G4" s="47">
        <v>6199</v>
      </c>
      <c r="H4" s="47"/>
      <c r="I4" s="47"/>
      <c r="J4" s="47" t="s">
        <v>422</v>
      </c>
      <c r="K4" s="47"/>
    </row>
    <row r="5" spans="1:11" ht="22.5" customHeight="1">
      <c r="A5" s="47" t="s">
        <v>423</v>
      </c>
      <c r="B5" s="48">
        <v>0.86</v>
      </c>
      <c r="C5" s="47" t="s">
        <v>421</v>
      </c>
      <c r="D5" s="47" t="s">
        <v>418</v>
      </c>
      <c r="E5" s="47">
        <v>1690</v>
      </c>
      <c r="F5" s="47">
        <v>3050</v>
      </c>
      <c r="G5" s="47">
        <v>3499</v>
      </c>
      <c r="H5" s="47"/>
      <c r="I5" s="47"/>
      <c r="J5" s="47" t="s">
        <v>424</v>
      </c>
      <c r="K5" s="47"/>
    </row>
    <row r="6" spans="1:11" ht="22.5" customHeight="1">
      <c r="A6" s="47" t="s">
        <v>425</v>
      </c>
      <c r="B6" s="48">
        <v>0.8</v>
      </c>
      <c r="C6" s="47" t="s">
        <v>421</v>
      </c>
      <c r="D6" s="47" t="s">
        <v>414</v>
      </c>
      <c r="E6" s="47">
        <v>40519</v>
      </c>
      <c r="F6" s="47">
        <v>3100</v>
      </c>
      <c r="G6" s="47">
        <v>4199</v>
      </c>
      <c r="H6" s="47"/>
      <c r="I6" s="47"/>
      <c r="J6" s="47" t="s">
        <v>426</v>
      </c>
      <c r="K6" s="47"/>
    </row>
    <row r="7" spans="1:11" ht="22.5" customHeight="1">
      <c r="A7" s="47" t="s">
        <v>427</v>
      </c>
      <c r="B7" s="48">
        <v>1</v>
      </c>
      <c r="C7" s="47" t="s">
        <v>421</v>
      </c>
      <c r="D7" s="47" t="s">
        <v>428</v>
      </c>
      <c r="E7" s="47"/>
      <c r="F7" s="47">
        <v>3800</v>
      </c>
      <c r="G7" s="47">
        <v>4399</v>
      </c>
      <c r="H7" s="47"/>
      <c r="I7" s="47"/>
      <c r="J7" s="47" t="s">
        <v>429</v>
      </c>
      <c r="K7" s="47"/>
    </row>
    <row r="8" spans="1:11" ht="22.5" customHeight="1">
      <c r="A8" s="47" t="s">
        <v>430</v>
      </c>
      <c r="B8" s="48">
        <v>0.76</v>
      </c>
      <c r="C8" s="47" t="s">
        <v>421</v>
      </c>
      <c r="D8" s="47" t="s">
        <v>418</v>
      </c>
      <c r="E8" s="47">
        <v>59622</v>
      </c>
      <c r="F8" s="47">
        <v>1400</v>
      </c>
      <c r="G8" s="47">
        <v>1799</v>
      </c>
      <c r="H8" s="47"/>
      <c r="I8" s="47"/>
      <c r="J8" s="47" t="s">
        <v>431</v>
      </c>
      <c r="K8" s="47"/>
    </row>
    <row r="9" spans="1:11" ht="22.5" customHeight="1">
      <c r="A9" s="47" t="s">
        <v>432</v>
      </c>
      <c r="B9" s="48">
        <v>0.85</v>
      </c>
      <c r="C9" s="47" t="s">
        <v>421</v>
      </c>
      <c r="D9" s="47" t="s">
        <v>433</v>
      </c>
      <c r="E9" s="47">
        <v>38186</v>
      </c>
      <c r="F9" s="47">
        <v>4000</v>
      </c>
      <c r="G9" s="47">
        <v>4499</v>
      </c>
      <c r="H9" s="47"/>
      <c r="I9" s="47"/>
      <c r="J9" s="47" t="s">
        <v>434</v>
      </c>
      <c r="K9" s="47"/>
    </row>
    <row r="10" spans="1:11" ht="22.5" customHeight="1">
      <c r="A10" s="47" t="s">
        <v>435</v>
      </c>
      <c r="B10" s="48">
        <v>1</v>
      </c>
      <c r="C10" s="47" t="s">
        <v>421</v>
      </c>
      <c r="D10" s="47" t="s">
        <v>436</v>
      </c>
      <c r="E10" s="47">
        <v>94235</v>
      </c>
      <c r="F10" s="47">
        <v>4600</v>
      </c>
      <c r="G10" s="47">
        <v>5099</v>
      </c>
      <c r="H10" s="47"/>
      <c r="I10" s="47"/>
      <c r="J10" s="47" t="s">
        <v>437</v>
      </c>
      <c r="K10" s="47"/>
    </row>
    <row r="11" spans="1:11" ht="22.5" customHeight="1">
      <c r="A11" s="47" t="s">
        <v>438</v>
      </c>
      <c r="B11" s="48">
        <v>0.89</v>
      </c>
      <c r="C11" s="47" t="s">
        <v>421</v>
      </c>
      <c r="D11" s="47" t="s">
        <v>414</v>
      </c>
      <c r="E11" s="47">
        <v>90867</v>
      </c>
      <c r="F11" s="47">
        <v>5750</v>
      </c>
      <c r="G11" s="47">
        <v>6300</v>
      </c>
      <c r="H11" s="47"/>
      <c r="I11" s="47"/>
      <c r="J11" s="47" t="s">
        <v>439</v>
      </c>
      <c r="K11" s="47"/>
    </row>
    <row r="12" spans="1:11" ht="22.5" customHeight="1">
      <c r="A12" s="47" t="s">
        <v>440</v>
      </c>
      <c r="B12" s="48">
        <v>0.78</v>
      </c>
      <c r="C12" s="47" t="s">
        <v>421</v>
      </c>
      <c r="D12" s="47" t="s">
        <v>418</v>
      </c>
      <c r="E12" s="47">
        <v>44140</v>
      </c>
      <c r="F12" s="47">
        <v>1300</v>
      </c>
      <c r="G12" s="47"/>
      <c r="H12" s="47"/>
      <c r="I12" s="47"/>
      <c r="J12" s="47" t="s">
        <v>441</v>
      </c>
      <c r="K12" s="47"/>
    </row>
    <row r="13" spans="1:11" ht="22.5" customHeight="1">
      <c r="A13" s="47" t="s">
        <v>440</v>
      </c>
      <c r="B13" s="48">
        <v>0.77</v>
      </c>
      <c r="C13" s="47" t="s">
        <v>442</v>
      </c>
      <c r="D13" s="47" t="s">
        <v>443</v>
      </c>
      <c r="E13" s="47">
        <v>35274</v>
      </c>
      <c r="F13" s="47">
        <v>1200</v>
      </c>
      <c r="G13" s="47">
        <v>1399</v>
      </c>
      <c r="H13" s="47"/>
      <c r="I13" s="47"/>
      <c r="J13" s="47" t="s">
        <v>444</v>
      </c>
      <c r="K13" s="47"/>
    </row>
    <row r="14" spans="1:11" ht="22.5" customHeight="1">
      <c r="A14" s="47" t="s">
        <v>425</v>
      </c>
      <c r="B14" s="48">
        <v>0.78</v>
      </c>
      <c r="C14" s="47" t="s">
        <v>421</v>
      </c>
      <c r="D14" s="47" t="s">
        <v>414</v>
      </c>
      <c r="E14" s="47">
        <v>66955</v>
      </c>
      <c r="F14" s="47">
        <v>3300</v>
      </c>
      <c r="G14" s="47">
        <v>3899</v>
      </c>
      <c r="H14" s="47"/>
      <c r="I14" s="47"/>
      <c r="J14" s="47" t="s">
        <v>445</v>
      </c>
      <c r="K14" s="47"/>
    </row>
    <row r="15" spans="1:11" ht="22.5" customHeight="1">
      <c r="A15" s="47" t="s">
        <v>446</v>
      </c>
      <c r="B15" s="48">
        <v>0.83</v>
      </c>
      <c r="C15" s="47" t="s">
        <v>421</v>
      </c>
      <c r="D15" s="47" t="s">
        <v>418</v>
      </c>
      <c r="E15" s="47">
        <v>54277</v>
      </c>
      <c r="F15" s="47">
        <v>700</v>
      </c>
      <c r="G15" s="47">
        <v>899</v>
      </c>
      <c r="H15" s="47"/>
      <c r="I15" s="47"/>
      <c r="J15" s="47" t="s">
        <v>447</v>
      </c>
      <c r="K15" s="47"/>
    </row>
    <row r="16" spans="1:11" ht="22.5" customHeight="1">
      <c r="A16" s="47" t="s">
        <v>448</v>
      </c>
      <c r="B16" s="48">
        <v>0.88</v>
      </c>
      <c r="C16" s="47" t="s">
        <v>449</v>
      </c>
      <c r="D16" s="47" t="s">
        <v>450</v>
      </c>
      <c r="E16" s="47">
        <v>40502</v>
      </c>
      <c r="F16" s="47">
        <v>1850</v>
      </c>
      <c r="G16" s="47">
        <v>2199</v>
      </c>
      <c r="H16" s="47"/>
      <c r="I16" s="47"/>
      <c r="J16" s="47" t="s">
        <v>451</v>
      </c>
      <c r="K16" s="47"/>
    </row>
    <row r="17" spans="1:11" ht="22.5" customHeight="1">
      <c r="A17" s="47" t="s">
        <v>452</v>
      </c>
      <c r="B17" s="48">
        <v>0.92</v>
      </c>
      <c r="C17" s="47" t="s">
        <v>453</v>
      </c>
      <c r="D17" s="47" t="s">
        <v>418</v>
      </c>
      <c r="E17" s="47">
        <v>95704</v>
      </c>
      <c r="F17" s="47">
        <v>900</v>
      </c>
      <c r="G17" s="47">
        <v>1199</v>
      </c>
      <c r="H17" s="47"/>
      <c r="I17" s="47"/>
      <c r="J17" s="47" t="s">
        <v>454</v>
      </c>
      <c r="K17" s="47"/>
    </row>
    <row r="18" spans="1:11" ht="22.5" customHeight="1">
      <c r="A18" s="47" t="s">
        <v>455</v>
      </c>
      <c r="B18" s="48">
        <v>0.93</v>
      </c>
      <c r="C18" s="47" t="s">
        <v>442</v>
      </c>
      <c r="D18" s="47"/>
      <c r="E18" s="47">
        <v>83704</v>
      </c>
      <c r="F18" s="47">
        <v>4650</v>
      </c>
      <c r="G18" s="47">
        <v>5099</v>
      </c>
      <c r="H18" s="47"/>
      <c r="I18" s="47"/>
      <c r="J18" s="47" t="s">
        <v>456</v>
      </c>
      <c r="K18" s="47"/>
    </row>
    <row r="19" spans="1:11" ht="22.5" customHeight="1">
      <c r="A19" s="47" t="s">
        <v>457</v>
      </c>
      <c r="B19" s="48">
        <v>0.92</v>
      </c>
      <c r="C19" s="47" t="s">
        <v>449</v>
      </c>
      <c r="D19" s="47" t="s">
        <v>458</v>
      </c>
      <c r="E19" s="47">
        <v>82529</v>
      </c>
      <c r="F19" s="47">
        <v>2200</v>
      </c>
      <c r="G19" s="47">
        <v>2499</v>
      </c>
      <c r="H19" s="47"/>
      <c r="I19" s="47"/>
      <c r="J19" s="47" t="s">
        <v>459</v>
      </c>
      <c r="K19" s="47"/>
    </row>
    <row r="20" spans="1:11" ht="22.5" customHeight="1">
      <c r="A20" s="47" t="s">
        <v>460</v>
      </c>
      <c r="B20" s="47" t="s">
        <v>461</v>
      </c>
      <c r="C20" s="47" t="s">
        <v>462</v>
      </c>
      <c r="D20" s="47"/>
      <c r="E20" s="47"/>
      <c r="F20" s="47">
        <v>3000</v>
      </c>
      <c r="G20" s="47">
        <v>3399</v>
      </c>
      <c r="H20" s="47"/>
      <c r="I20" s="47"/>
      <c r="J20" s="47" t="s">
        <v>463</v>
      </c>
      <c r="K20" s="47"/>
    </row>
    <row r="21" spans="1:11" ht="22.5" customHeight="1">
      <c r="A21" s="47" t="s">
        <v>464</v>
      </c>
      <c r="B21" s="48">
        <v>1</v>
      </c>
      <c r="C21" s="47" t="s">
        <v>453</v>
      </c>
      <c r="D21" s="47" t="s">
        <v>436</v>
      </c>
      <c r="E21" s="47">
        <v>29527</v>
      </c>
      <c r="F21" s="47">
        <v>3350</v>
      </c>
      <c r="G21" s="47">
        <v>3699</v>
      </c>
      <c r="H21" s="47"/>
      <c r="I21" s="47"/>
      <c r="J21" s="47" t="s">
        <v>465</v>
      </c>
      <c r="K21" s="47"/>
    </row>
    <row r="22" spans="1:11" ht="22.5" customHeight="1">
      <c r="A22" s="47" t="s">
        <v>466</v>
      </c>
      <c r="B22" s="48">
        <v>0.77</v>
      </c>
      <c r="C22" s="47" t="s">
        <v>442</v>
      </c>
      <c r="D22" s="47" t="s">
        <v>414</v>
      </c>
      <c r="E22" s="47">
        <v>52804</v>
      </c>
      <c r="F22" s="47">
        <v>950</v>
      </c>
      <c r="G22" s="47">
        <v>1199</v>
      </c>
      <c r="H22" s="47"/>
      <c r="I22" s="47"/>
      <c r="J22" s="47" t="s">
        <v>467</v>
      </c>
      <c r="K22" s="47"/>
    </row>
    <row r="23" spans="1:11" ht="22.5" customHeight="1">
      <c r="A23" s="47" t="s">
        <v>468</v>
      </c>
      <c r="B23" s="48">
        <v>0.9</v>
      </c>
      <c r="C23" s="47" t="s">
        <v>413</v>
      </c>
      <c r="D23" s="47" t="s">
        <v>418</v>
      </c>
      <c r="E23" s="47">
        <v>29662</v>
      </c>
      <c r="F23" s="47">
        <v>650</v>
      </c>
      <c r="G23" s="47">
        <v>899</v>
      </c>
      <c r="H23" s="47"/>
      <c r="I23" s="47"/>
      <c r="J23" s="47" t="s">
        <v>469</v>
      </c>
      <c r="K23" s="47"/>
    </row>
    <row r="24" spans="1:11" ht="22.5" customHeight="1">
      <c r="A24" s="47" t="s">
        <v>470</v>
      </c>
      <c r="B24" s="48">
        <v>0.79</v>
      </c>
      <c r="C24" s="47" t="s">
        <v>421</v>
      </c>
      <c r="D24" s="47" t="s">
        <v>471</v>
      </c>
      <c r="E24" s="47">
        <v>25647</v>
      </c>
      <c r="F24" s="47">
        <v>2000</v>
      </c>
      <c r="G24" s="47">
        <v>2499</v>
      </c>
      <c r="H24" s="47"/>
      <c r="I24" s="47"/>
      <c r="J24" s="47" t="s">
        <v>472</v>
      </c>
      <c r="K24" s="47"/>
    </row>
    <row r="25" spans="1:11" ht="22.5" customHeight="1">
      <c r="A25" s="47" t="s">
        <v>473</v>
      </c>
      <c r="B25" s="48">
        <v>0.85</v>
      </c>
      <c r="C25" s="47" t="s">
        <v>474</v>
      </c>
      <c r="D25" s="47" t="s">
        <v>418</v>
      </c>
      <c r="E25" s="47">
        <v>78231</v>
      </c>
      <c r="F25" s="47">
        <v>3300</v>
      </c>
      <c r="G25" s="47">
        <v>3599</v>
      </c>
      <c r="H25" s="47"/>
      <c r="I25" s="47"/>
      <c r="J25" s="47" t="s">
        <v>475</v>
      </c>
      <c r="K25" s="47"/>
    </row>
    <row r="26" spans="1:11" ht="22.5" customHeight="1">
      <c r="A26" s="47" t="s">
        <v>473</v>
      </c>
      <c r="B26" s="48">
        <v>0.88</v>
      </c>
      <c r="C26" s="47" t="s">
        <v>417</v>
      </c>
      <c r="D26" s="47" t="s">
        <v>418</v>
      </c>
      <c r="E26" s="47">
        <v>81317</v>
      </c>
      <c r="F26" s="47">
        <v>3150</v>
      </c>
      <c r="G26" s="47">
        <v>3499</v>
      </c>
      <c r="H26" s="47"/>
      <c r="I26" s="47"/>
      <c r="J26" s="47" t="s">
        <v>476</v>
      </c>
      <c r="K26" s="47"/>
    </row>
    <row r="27" spans="1:11" ht="22.5" customHeight="1">
      <c r="A27" s="47" t="s">
        <v>477</v>
      </c>
      <c r="B27" s="47" t="s">
        <v>478</v>
      </c>
      <c r="C27" s="47" t="s">
        <v>421</v>
      </c>
      <c r="D27" s="47" t="s">
        <v>479</v>
      </c>
      <c r="E27" s="47">
        <v>96856</v>
      </c>
      <c r="F27" s="47">
        <v>800</v>
      </c>
      <c r="G27" s="47">
        <v>1399</v>
      </c>
      <c r="H27" s="47"/>
      <c r="I27" s="47"/>
      <c r="J27" s="47" t="s">
        <v>480</v>
      </c>
      <c r="K27" s="47"/>
    </row>
    <row r="28" spans="1:11" ht="22.5" customHeight="1">
      <c r="A28" s="47" t="s">
        <v>440</v>
      </c>
      <c r="B28" s="48">
        <v>0.77</v>
      </c>
      <c r="C28" s="47" t="s">
        <v>421</v>
      </c>
      <c r="D28" s="47" t="s">
        <v>443</v>
      </c>
      <c r="E28" s="47">
        <v>34897</v>
      </c>
      <c r="F28" s="47">
        <v>1350</v>
      </c>
      <c r="G28" s="47">
        <v>1699</v>
      </c>
      <c r="H28" s="47"/>
      <c r="I28" s="47"/>
      <c r="J28" s="47" t="s">
        <v>481</v>
      </c>
      <c r="K28" s="47"/>
    </row>
    <row r="29" spans="1:11" ht="22.5" customHeight="1">
      <c r="A29" s="47" t="s">
        <v>482</v>
      </c>
      <c r="B29" s="48">
        <v>0.95</v>
      </c>
      <c r="C29" s="47" t="s">
        <v>417</v>
      </c>
      <c r="D29" s="47" t="s">
        <v>443</v>
      </c>
      <c r="E29" s="47">
        <v>46468</v>
      </c>
      <c r="F29" s="47">
        <v>2900</v>
      </c>
      <c r="G29" s="47">
        <v>3299</v>
      </c>
      <c r="H29" s="47"/>
      <c r="I29" s="47"/>
      <c r="J29" s="47" t="s">
        <v>483</v>
      </c>
      <c r="K29" s="47"/>
    </row>
    <row r="30" spans="1:11" ht="22.5" customHeight="1">
      <c r="A30" s="47" t="s">
        <v>457</v>
      </c>
      <c r="B30" s="48">
        <v>0.83</v>
      </c>
      <c r="C30" s="47" t="s">
        <v>449</v>
      </c>
      <c r="D30" s="47" t="s">
        <v>471</v>
      </c>
      <c r="E30" s="47">
        <v>93071</v>
      </c>
      <c r="F30" s="47">
        <v>2350</v>
      </c>
      <c r="G30" s="47">
        <v>2799</v>
      </c>
      <c r="H30" s="47"/>
      <c r="I30" s="47"/>
      <c r="J30" s="47" t="s">
        <v>484</v>
      </c>
      <c r="K30" s="47"/>
    </row>
    <row r="31" spans="1:11" ht="22.5" customHeight="1">
      <c r="A31" s="47" t="s">
        <v>485</v>
      </c>
      <c r="B31" s="48">
        <v>0.83</v>
      </c>
      <c r="C31" s="47" t="s">
        <v>442</v>
      </c>
      <c r="D31" s="47" t="s">
        <v>436</v>
      </c>
      <c r="E31" s="47">
        <v>38370</v>
      </c>
      <c r="F31" s="47">
        <v>750</v>
      </c>
      <c r="G31" s="47">
        <v>999</v>
      </c>
      <c r="H31" s="47"/>
      <c r="I31" s="47"/>
      <c r="J31" s="47" t="s">
        <v>486</v>
      </c>
      <c r="K31" s="47"/>
    </row>
    <row r="32" spans="1:11" ht="22.5" customHeight="1">
      <c r="A32" s="47" t="s">
        <v>487</v>
      </c>
      <c r="B32" s="48">
        <v>0.89</v>
      </c>
      <c r="C32" s="47" t="s">
        <v>413</v>
      </c>
      <c r="D32" s="47" t="s">
        <v>436</v>
      </c>
      <c r="E32" s="47">
        <v>75927</v>
      </c>
      <c r="F32" s="47">
        <v>700</v>
      </c>
      <c r="G32" s="47">
        <v>999</v>
      </c>
      <c r="H32" s="47"/>
      <c r="I32" s="47"/>
      <c r="J32" s="47" t="s">
        <v>488</v>
      </c>
      <c r="K32" s="47"/>
    </row>
    <row r="33" spans="1:11" ht="22.5" customHeight="1">
      <c r="A33" s="47" t="s">
        <v>489</v>
      </c>
      <c r="B33" s="48">
        <v>1</v>
      </c>
      <c r="C33" s="47" t="s">
        <v>442</v>
      </c>
      <c r="D33" s="47" t="s">
        <v>443</v>
      </c>
      <c r="E33" s="47">
        <v>55146</v>
      </c>
      <c r="F33" s="47">
        <v>1100</v>
      </c>
      <c r="G33" s="47">
        <v>1299</v>
      </c>
      <c r="H33" s="47"/>
      <c r="I33" s="47"/>
      <c r="J33" s="47" t="s">
        <v>490</v>
      </c>
      <c r="K33" s="47"/>
    </row>
    <row r="34" spans="1:11" ht="22.5" customHeight="1">
      <c r="A34" s="47" t="s">
        <v>491</v>
      </c>
      <c r="B34" s="48">
        <v>0.87</v>
      </c>
      <c r="C34" s="47" t="s">
        <v>492</v>
      </c>
      <c r="D34" s="47" t="s">
        <v>418</v>
      </c>
      <c r="E34" s="47">
        <v>48633</v>
      </c>
      <c r="F34" s="47">
        <v>1000</v>
      </c>
      <c r="G34" s="47">
        <v>1399</v>
      </c>
      <c r="H34" s="47"/>
      <c r="I34" s="47"/>
      <c r="J34" s="47" t="s">
        <v>493</v>
      </c>
      <c r="K34" s="47"/>
    </row>
    <row r="35" spans="1:11" ht="22.5" customHeight="1">
      <c r="A35" s="47" t="s">
        <v>494</v>
      </c>
      <c r="B35" s="48">
        <v>0.99</v>
      </c>
      <c r="C35" s="47" t="s">
        <v>413</v>
      </c>
      <c r="D35" s="47" t="s">
        <v>418</v>
      </c>
      <c r="E35" s="47">
        <v>53528</v>
      </c>
      <c r="F35" s="47">
        <v>550</v>
      </c>
      <c r="G35" s="47">
        <v>750</v>
      </c>
      <c r="H35" s="47"/>
      <c r="I35" s="47"/>
      <c r="J35" s="47" t="s">
        <v>495</v>
      </c>
      <c r="K35" s="47"/>
    </row>
    <row r="36" spans="1:11" ht="22.5" customHeight="1">
      <c r="A36" s="47" t="s">
        <v>425</v>
      </c>
      <c r="B36" s="48">
        <v>0.75</v>
      </c>
      <c r="C36" s="47" t="s">
        <v>421</v>
      </c>
      <c r="D36" s="47" t="s">
        <v>418</v>
      </c>
      <c r="E36" s="47">
        <v>84262</v>
      </c>
      <c r="F36" s="47">
        <v>3670</v>
      </c>
      <c r="G36" s="47">
        <v>3899</v>
      </c>
      <c r="H36" s="47"/>
      <c r="I36" s="47"/>
      <c r="J36" s="47" t="s">
        <v>496</v>
      </c>
      <c r="K36" s="47"/>
    </row>
    <row r="37" spans="1:11" ht="22.5" customHeight="1">
      <c r="A37" s="47" t="s">
        <v>497</v>
      </c>
      <c r="B37" s="47" t="s">
        <v>498</v>
      </c>
      <c r="C37" s="47" t="s">
        <v>421</v>
      </c>
      <c r="D37" s="47" t="s">
        <v>414</v>
      </c>
      <c r="E37" s="47">
        <v>96477</v>
      </c>
      <c r="F37" s="47">
        <v>2200</v>
      </c>
      <c r="G37" s="47">
        <v>2599</v>
      </c>
      <c r="H37" s="47"/>
      <c r="I37" s="47"/>
      <c r="J37" s="47" t="s">
        <v>499</v>
      </c>
      <c r="K37" s="47"/>
    </row>
    <row r="38" spans="1:11" ht="22.5" customHeight="1">
      <c r="A38" s="47" t="s">
        <v>466</v>
      </c>
      <c r="B38" s="48">
        <v>0.76</v>
      </c>
      <c r="C38" s="47" t="s">
        <v>442</v>
      </c>
      <c r="D38" s="47" t="s">
        <v>418</v>
      </c>
      <c r="E38" s="47">
        <v>23920</v>
      </c>
      <c r="F38" s="47">
        <v>950</v>
      </c>
      <c r="G38" s="47">
        <v>1299</v>
      </c>
      <c r="H38" s="47"/>
      <c r="I38" s="47"/>
      <c r="J38" s="47" t="s">
        <v>500</v>
      </c>
      <c r="K38" s="47"/>
    </row>
    <row r="39" spans="1:11" ht="22.5" customHeight="1">
      <c r="A39" s="47" t="s">
        <v>440</v>
      </c>
      <c r="B39" s="48">
        <v>0.77</v>
      </c>
      <c r="C39" s="47" t="s">
        <v>442</v>
      </c>
      <c r="D39" s="47" t="s">
        <v>443</v>
      </c>
      <c r="E39" s="47">
        <v>83650</v>
      </c>
      <c r="F39" s="47">
        <v>1250</v>
      </c>
      <c r="G39" s="47">
        <v>1450</v>
      </c>
      <c r="H39" s="47"/>
      <c r="I39" s="47"/>
      <c r="J39" s="47" t="s">
        <v>501</v>
      </c>
      <c r="K39" s="47"/>
    </row>
    <row r="40" spans="1:11" ht="22.5" customHeight="1">
      <c r="A40" s="47" t="s">
        <v>466</v>
      </c>
      <c r="B40" s="48">
        <v>0.74</v>
      </c>
      <c r="C40" s="47" t="s">
        <v>442</v>
      </c>
      <c r="D40" s="47" t="s">
        <v>418</v>
      </c>
      <c r="E40" s="47">
        <v>7347</v>
      </c>
      <c r="F40" s="47">
        <v>800</v>
      </c>
      <c r="G40" s="47">
        <v>1099</v>
      </c>
      <c r="H40" s="47"/>
      <c r="I40" s="47"/>
      <c r="J40" s="47" t="s">
        <v>502</v>
      </c>
      <c r="K40" s="47"/>
    </row>
    <row r="41" spans="1:11" ht="22.5" customHeight="1">
      <c r="A41" s="47" t="s">
        <v>503</v>
      </c>
      <c r="B41" s="48">
        <v>0.76</v>
      </c>
      <c r="C41" s="47" t="s">
        <v>413</v>
      </c>
      <c r="D41" s="47" t="s">
        <v>418</v>
      </c>
      <c r="E41" s="47">
        <v>37486</v>
      </c>
      <c r="F41" s="47">
        <v>900</v>
      </c>
      <c r="G41" s="47">
        <v>1199</v>
      </c>
      <c r="H41" s="47"/>
      <c r="I41" s="47"/>
      <c r="J41" s="47" t="s">
        <v>504</v>
      </c>
      <c r="K41" s="47"/>
    </row>
    <row r="42" spans="1:11" ht="22.5" customHeight="1">
      <c r="A42" s="47" t="s">
        <v>505</v>
      </c>
      <c r="B42" s="48">
        <v>0.99</v>
      </c>
      <c r="C42" s="47" t="s">
        <v>421</v>
      </c>
      <c r="D42" s="47" t="s">
        <v>471</v>
      </c>
      <c r="E42" s="47">
        <v>37977</v>
      </c>
      <c r="F42" s="47">
        <v>1550</v>
      </c>
      <c r="G42" s="47">
        <v>1999</v>
      </c>
      <c r="H42" s="47"/>
      <c r="I42" s="47"/>
      <c r="J42" s="47" t="s">
        <v>506</v>
      </c>
      <c r="K42" s="47"/>
    </row>
    <row r="43" spans="1:11" ht="22.5" customHeight="1">
      <c r="A43" s="47" t="s">
        <v>423</v>
      </c>
      <c r="B43" s="48">
        <v>0.79</v>
      </c>
      <c r="C43" s="47" t="s">
        <v>507</v>
      </c>
      <c r="D43" s="47" t="s">
        <v>414</v>
      </c>
      <c r="E43" s="47">
        <v>22975</v>
      </c>
      <c r="F43" s="47">
        <v>4300</v>
      </c>
      <c r="G43" s="47">
        <v>4499</v>
      </c>
      <c r="H43" s="47"/>
      <c r="I43" s="47"/>
      <c r="J43" s="47" t="s">
        <v>459</v>
      </c>
      <c r="K43" s="47"/>
    </row>
    <row r="44" spans="1:11" ht="22.5" customHeight="1">
      <c r="A44" s="47" t="s">
        <v>505</v>
      </c>
      <c r="B44" s="48">
        <v>0.77</v>
      </c>
      <c r="C44" s="47" t="s">
        <v>421</v>
      </c>
      <c r="D44" s="47" t="s">
        <v>471</v>
      </c>
      <c r="E44" s="47">
        <v>60415</v>
      </c>
      <c r="F44" s="47">
        <v>1500</v>
      </c>
      <c r="G44" s="47">
        <v>1999</v>
      </c>
      <c r="H44" s="47"/>
      <c r="I44" s="47"/>
      <c r="J44" s="47" t="s">
        <v>508</v>
      </c>
      <c r="K44" s="47"/>
    </row>
    <row r="45" spans="1:11" ht="22.5" customHeight="1">
      <c r="A45" s="47" t="s">
        <v>509</v>
      </c>
      <c r="B45" s="47" t="s">
        <v>510</v>
      </c>
      <c r="C45" s="47" t="s">
        <v>511</v>
      </c>
      <c r="D45" s="47" t="s">
        <v>418</v>
      </c>
      <c r="E45" s="47">
        <v>95234</v>
      </c>
      <c r="F45" s="47">
        <v>700</v>
      </c>
      <c r="G45" s="47">
        <v>999</v>
      </c>
      <c r="H45" s="47"/>
      <c r="I45" s="47"/>
      <c r="J45" s="47" t="s">
        <v>512</v>
      </c>
      <c r="K45" s="47"/>
    </row>
    <row r="46" spans="1:11" ht="22.5" customHeight="1">
      <c r="A46" s="47" t="s">
        <v>513</v>
      </c>
      <c r="B46" s="47" t="s">
        <v>514</v>
      </c>
      <c r="C46" s="47" t="s">
        <v>442</v>
      </c>
      <c r="D46" s="47" t="s">
        <v>471</v>
      </c>
      <c r="E46" s="47">
        <v>79379</v>
      </c>
      <c r="F46" s="47">
        <v>1800</v>
      </c>
      <c r="G46" s="47">
        <v>2099</v>
      </c>
      <c r="H46" s="47"/>
      <c r="I46" s="47"/>
      <c r="J46" s="47" t="s">
        <v>515</v>
      </c>
      <c r="K46" s="49"/>
    </row>
    <row r="47" spans="1:11" ht="22.5" customHeight="1">
      <c r="A47" s="46" t="s">
        <v>217</v>
      </c>
      <c r="B47" s="44">
        <f>SUBTOTAL(103,表7[名称])</f>
        <v>45</v>
      </c>
      <c r="C47" s="44"/>
      <c r="D47" s="44"/>
      <c r="E47" s="44"/>
      <c r="F47" s="45">
        <f>SUBTOTAL(109,表7[成本])</f>
        <v>97970</v>
      </c>
      <c r="G47" s="45">
        <f>SUBTOTAL(109,表7[售价])</f>
        <v>148812</v>
      </c>
      <c r="H47" s="45">
        <f>SUBTOTAL(109,表7[手续费])</f>
        <v>0</v>
      </c>
      <c r="I47" s="45">
        <f>SUBTOTAL(109,表7[预计利润])</f>
        <v>0</v>
      </c>
      <c r="J47" s="44"/>
      <c r="K47" s="44">
        <f>SUBTOTAL(103,表7[时间])</f>
        <v>0</v>
      </c>
    </row>
    <row r="48" spans="1:11">
      <c r="A48" s="95" t="s">
        <v>516</v>
      </c>
      <c r="B48" s="97" t="s">
        <v>517</v>
      </c>
      <c r="C48" s="97"/>
      <c r="D48" s="99" t="s">
        <v>518</v>
      </c>
      <c r="E48" s="99"/>
      <c r="F48" s="99"/>
      <c r="G48" s="99"/>
      <c r="H48" s="99"/>
      <c r="I48" s="99"/>
      <c r="J48" s="99"/>
      <c r="K48" s="97" t="s">
        <v>519</v>
      </c>
    </row>
    <row r="49" spans="1:11">
      <c r="A49" s="95"/>
      <c r="B49" s="97"/>
      <c r="C49" s="97"/>
      <c r="D49" s="99"/>
      <c r="E49" s="99"/>
      <c r="F49" s="99"/>
      <c r="G49" s="99"/>
      <c r="H49" s="99"/>
      <c r="I49" s="99"/>
      <c r="J49" s="99"/>
      <c r="K49" s="97"/>
    </row>
    <row r="50" spans="1:11">
      <c r="A50" s="95"/>
      <c r="B50" s="97"/>
      <c r="C50" s="97"/>
      <c r="D50" s="99"/>
      <c r="E50" s="99"/>
      <c r="F50" s="99"/>
      <c r="G50" s="99"/>
      <c r="H50" s="99"/>
      <c r="I50" s="99"/>
      <c r="J50" s="99"/>
      <c r="K50" s="97"/>
    </row>
    <row r="51" spans="1:11">
      <c r="A51" s="95"/>
      <c r="B51" s="97"/>
      <c r="C51" s="97"/>
      <c r="D51" s="99"/>
      <c r="E51" s="99"/>
      <c r="F51" s="99"/>
      <c r="G51" s="99"/>
      <c r="H51" s="99"/>
      <c r="I51" s="99"/>
      <c r="J51" s="99"/>
      <c r="K51" s="97"/>
    </row>
    <row r="52" spans="1:11">
      <c r="A52" s="95"/>
      <c r="B52" s="97"/>
      <c r="C52" s="97"/>
      <c r="D52" s="99"/>
      <c r="E52" s="99"/>
      <c r="F52" s="99"/>
      <c r="G52" s="99"/>
      <c r="H52" s="99"/>
      <c r="I52" s="99"/>
      <c r="J52" s="99"/>
      <c r="K52" s="97"/>
    </row>
    <row r="53" spans="1:11">
      <c r="A53" s="95"/>
      <c r="B53" s="97"/>
      <c r="C53" s="97"/>
      <c r="D53" s="99"/>
      <c r="E53" s="99"/>
      <c r="F53" s="99"/>
      <c r="G53" s="99"/>
      <c r="H53" s="99"/>
      <c r="I53" s="99"/>
      <c r="J53" s="99"/>
      <c r="K53" s="97"/>
    </row>
    <row r="54" spans="1:11">
      <c r="A54" s="95"/>
      <c r="B54" s="97"/>
      <c r="C54" s="97"/>
      <c r="D54" s="99"/>
      <c r="E54" s="99"/>
      <c r="F54" s="99"/>
      <c r="G54" s="99"/>
      <c r="H54" s="99"/>
      <c r="I54" s="99"/>
      <c r="J54" s="99"/>
      <c r="K54" s="97"/>
    </row>
    <row r="55" spans="1:11">
      <c r="A55" s="95"/>
      <c r="B55" s="97" t="s">
        <v>520</v>
      </c>
      <c r="C55" s="97"/>
      <c r="D55" s="98" t="s">
        <v>521</v>
      </c>
      <c r="E55" s="98"/>
      <c r="F55" s="98"/>
      <c r="G55" s="98"/>
      <c r="H55" s="98"/>
      <c r="I55" s="98"/>
      <c r="J55" s="98"/>
      <c r="K55" s="97"/>
    </row>
    <row r="56" spans="1:11">
      <c r="A56" s="95"/>
      <c r="B56" s="97"/>
      <c r="C56" s="97"/>
      <c r="D56" s="98"/>
      <c r="E56" s="98"/>
      <c r="F56" s="98"/>
      <c r="G56" s="98"/>
      <c r="H56" s="98"/>
      <c r="I56" s="98"/>
      <c r="J56" s="98"/>
      <c r="K56" s="97"/>
    </row>
    <row r="57" spans="1:11">
      <c r="A57" s="95"/>
      <c r="B57" s="97"/>
      <c r="C57" s="97"/>
      <c r="D57" s="98"/>
      <c r="E57" s="98"/>
      <c r="F57" s="98"/>
      <c r="G57" s="98"/>
      <c r="H57" s="98"/>
      <c r="I57" s="98"/>
      <c r="J57" s="98"/>
      <c r="K57" s="97"/>
    </row>
    <row r="58" spans="1:11">
      <c r="A58" s="95"/>
      <c r="B58" s="97"/>
      <c r="C58" s="97"/>
      <c r="D58" s="98"/>
      <c r="E58" s="98"/>
      <c r="F58" s="98"/>
      <c r="G58" s="98"/>
      <c r="H58" s="98"/>
      <c r="I58" s="98"/>
      <c r="J58" s="98"/>
      <c r="K58" s="97"/>
    </row>
    <row r="59" spans="1:11">
      <c r="A59" s="95"/>
      <c r="B59" s="97"/>
      <c r="C59" s="97"/>
      <c r="D59" s="98"/>
      <c r="E59" s="98"/>
      <c r="F59" s="98"/>
      <c r="G59" s="98"/>
      <c r="H59" s="98"/>
      <c r="I59" s="98"/>
      <c r="J59" s="98"/>
      <c r="K59" s="97"/>
    </row>
    <row r="60" spans="1:11">
      <c r="A60" s="95"/>
      <c r="B60" s="97" t="s">
        <v>522</v>
      </c>
      <c r="C60" s="97"/>
      <c r="D60" s="97" t="s">
        <v>523</v>
      </c>
      <c r="E60" s="97"/>
      <c r="F60" s="97"/>
      <c r="G60" s="97"/>
      <c r="H60" s="97"/>
      <c r="I60" s="97"/>
      <c r="J60" s="97"/>
      <c r="K60" s="97"/>
    </row>
    <row r="61" spans="1:11">
      <c r="A61" s="95"/>
      <c r="B61" s="97"/>
      <c r="C61" s="97"/>
      <c r="D61" s="97"/>
      <c r="E61" s="97"/>
      <c r="F61" s="97"/>
      <c r="G61" s="97"/>
      <c r="H61" s="97"/>
      <c r="I61" s="97"/>
      <c r="J61" s="97"/>
      <c r="K61" s="97"/>
    </row>
    <row r="62" spans="1:11">
      <c r="A62" s="95"/>
      <c r="B62" s="97"/>
      <c r="C62" s="97"/>
      <c r="D62" s="97"/>
      <c r="E62" s="97"/>
      <c r="F62" s="97"/>
      <c r="G62" s="97"/>
      <c r="H62" s="97"/>
      <c r="I62" s="97"/>
      <c r="J62" s="97"/>
      <c r="K62" s="97"/>
    </row>
    <row r="63" spans="1:11">
      <c r="A63" s="95"/>
      <c r="B63" s="97"/>
      <c r="C63" s="97"/>
      <c r="D63" s="97"/>
      <c r="E63" s="97"/>
      <c r="F63" s="97"/>
      <c r="G63" s="97"/>
      <c r="H63" s="97"/>
      <c r="I63" s="97"/>
      <c r="J63" s="97"/>
      <c r="K63" s="97"/>
    </row>
    <row r="64" spans="1:11">
      <c r="A64" s="95"/>
      <c r="B64" s="97"/>
      <c r="C64" s="97"/>
      <c r="D64" s="97"/>
      <c r="E64" s="97"/>
      <c r="F64" s="97"/>
      <c r="G64" s="97"/>
      <c r="H64" s="97"/>
      <c r="I64" s="97"/>
      <c r="J64" s="97"/>
      <c r="K64" s="97"/>
    </row>
    <row r="65" spans="1:11">
      <c r="A65" s="95"/>
      <c r="B65" s="96" t="s">
        <v>524</v>
      </c>
      <c r="C65" s="96"/>
      <c r="D65" s="96"/>
      <c r="E65" s="96"/>
      <c r="F65" s="96"/>
      <c r="G65" s="96"/>
      <c r="H65" s="96"/>
      <c r="I65" s="96"/>
      <c r="J65" s="96"/>
      <c r="K65" s="97" t="s">
        <v>525</v>
      </c>
    </row>
    <row r="66" spans="1:11">
      <c r="A66" s="95"/>
      <c r="B66" s="96"/>
      <c r="C66" s="96"/>
      <c r="D66" s="96"/>
      <c r="E66" s="96"/>
      <c r="F66" s="96"/>
      <c r="G66" s="96"/>
      <c r="H66" s="96"/>
      <c r="I66" s="96"/>
      <c r="J66" s="96"/>
      <c r="K66" s="97"/>
    </row>
    <row r="67" spans="1:11">
      <c r="A67" s="95"/>
      <c r="B67" s="96"/>
      <c r="C67" s="96"/>
      <c r="D67" s="96"/>
      <c r="E67" s="96"/>
      <c r="F67" s="96"/>
      <c r="G67" s="96"/>
      <c r="H67" s="96"/>
      <c r="I67" s="96"/>
      <c r="J67" s="96"/>
      <c r="K67" s="97"/>
    </row>
    <row r="82" spans="12:12" s="1" customFormat="1" ht="21.75" customHeight="1"/>
    <row r="83" spans="12:12" s="1" customFormat="1" ht="21.75" customHeight="1">
      <c r="L83" s="30"/>
    </row>
    <row r="84" spans="12:12" s="1" customFormat="1" ht="21.75" customHeight="1">
      <c r="L84" s="30"/>
    </row>
    <row r="85" spans="12:12" s="1" customFormat="1" ht="21.75" customHeight="1"/>
    <row r="90" spans="12:12" s="1" customFormat="1" ht="21.75" customHeight="1"/>
    <row r="91" spans="12:12" s="1" customFormat="1" ht="21.75" customHeight="1"/>
    <row r="94" spans="12:12" s="1" customFormat="1" ht="21.75" customHeight="1"/>
    <row r="95" spans="12:12" s="1" customFormat="1" ht="21.75" customHeight="1"/>
    <row r="96" spans="12:12" s="1" customFormat="1" ht="21.75" customHeight="1"/>
    <row r="97" s="1" customFormat="1" ht="21.75" customHeight="1"/>
  </sheetData>
  <mergeCells count="10">
    <mergeCell ref="A48:A67"/>
    <mergeCell ref="B65:J67"/>
    <mergeCell ref="K65:K67"/>
    <mergeCell ref="K48:K64"/>
    <mergeCell ref="B55:C59"/>
    <mergeCell ref="B60:C64"/>
    <mergeCell ref="D55:J59"/>
    <mergeCell ref="D60:J64"/>
    <mergeCell ref="B48:C54"/>
    <mergeCell ref="D48:J54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配件成本</vt:lpstr>
      <vt:lpstr>每日利润</vt:lpstr>
      <vt:lpstr>闲鱼</vt:lpstr>
      <vt:lpstr>定价</vt:lpstr>
      <vt:lpstr>开店明细</vt:lpstr>
      <vt:lpstr>门店</vt:lpstr>
      <vt:lpstr>大于600微购商城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浩 余</cp:lastModifiedBy>
  <cp:revision/>
  <dcterms:created xsi:type="dcterms:W3CDTF">2025-11-30T04:22:54Z</dcterms:created>
  <dcterms:modified xsi:type="dcterms:W3CDTF">2026-05-29T08:24:42Z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